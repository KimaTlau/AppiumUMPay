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  <sheet name="Register" sheetId="2" state="visible" r:id="rId2"/>
    <sheet name="Deposit" sheetId="3" state="visible" r:id="rId3"/>
    <sheet name="Withdraw" sheetId="4" state="visible" r:id="rId4"/>
    <sheet name="Transfer" sheetId="5" state="visible" r:id="rId5"/>
    <sheet name="Convert" sheetId="6" state="visible" r:id="rId6"/>
    <sheet name="Global_Transfer" sheetId="7" state="visible" r:id="rId7"/>
    <sheet name="Profile" sheetId="8" state="visible" r:id="rId8"/>
    <sheet name="End_To_End" sheetId="9" state="visible" r:id="rId9"/>
    <sheet name="Test Result" sheetId="10" state="visible" r:id="rId10"/>
    <sheet name="META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FF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1" fillId="3" borderId="1" pivotButton="0" quotePrefix="0" xfId="0"/>
    <xf numFmtId="0" fontId="0" fillId="0" borderId="1" applyAlignment="1" pivotButton="0" quotePrefix="0" xfId="0">
      <alignment horizontal="center"/>
    </xf>
    <xf numFmtId="165" fontId="0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0" borderId="1" applyAlignment="1" pivotButton="0" quotePrefix="0" xfId="0">
      <alignment vertical="top" wrapText="1"/>
    </xf>
    <xf numFmtId="0" fontId="3" fillId="0" borderId="0" pivotButton="0" quotePrefix="0" xfId="1"/>
    <xf numFmtId="165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run/Login_TC_001.cmd" TargetMode="External" Id="rId1" /><Relationship Type="http://schemas.openxmlformats.org/officeDocument/2006/relationships/hyperlink" Target="run/Login_TC_002.cmd" TargetMode="External" Id="rId2" /><Relationship Type="http://schemas.openxmlformats.org/officeDocument/2006/relationships/hyperlink" Target="run/Login_TC_003.cmd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run/Register_TC_001.cmd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run/Deposit_TC_001.cmd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run/Withdraw_TC_001.cmd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run/Transfer_TC_001.cmd" TargetMode="External" Id="rId1" /><Relationship Type="http://schemas.openxmlformats.org/officeDocument/2006/relationships/hyperlink" Target="run/Transfer_TC_002.cmd" TargetMode="External" Id="rId2" /><Relationship Type="http://schemas.openxmlformats.org/officeDocument/2006/relationships/hyperlink" Target="run/Transfer_TC_003.cmd" TargetMode="External" Id="rId3" /><Relationship Type="http://schemas.openxmlformats.org/officeDocument/2006/relationships/hyperlink" Target="run/Transfer_TC_004.cmd" TargetMode="External" Id="rId4" /><Relationship Type="http://schemas.openxmlformats.org/officeDocument/2006/relationships/hyperlink" Target="run/Transfer_TC_005.cmd" TargetMode="External" Id="rId5" /><Relationship Type="http://schemas.openxmlformats.org/officeDocument/2006/relationships/hyperlink" Target="run/Transfer_TC_006.cmd" TargetMode="External" Id="rId6" /><Relationship Type="http://schemas.openxmlformats.org/officeDocument/2006/relationships/hyperlink" Target="run/Transfer_TC_007.cmd" TargetMode="External" Id="rId7" /></Relationships>
</file>

<file path=xl/worksheets/_rels/sheet6.xml.rels><Relationships xmlns="http://schemas.openxmlformats.org/package/2006/relationships"><Relationship Type="http://schemas.openxmlformats.org/officeDocument/2006/relationships/hyperlink" Target="run/Convert_TC_001.cmd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run/Global_Transfer_TC_001.cmd" TargetMode="External" Id="rId1" /><Relationship Type="http://schemas.openxmlformats.org/officeDocument/2006/relationships/hyperlink" Target="run/Global_Transfer_TC_002.cmd" TargetMode="External" Id="rId2" /><Relationship Type="http://schemas.openxmlformats.org/officeDocument/2006/relationships/hyperlink" Target="run/Global_Transfer_TC_003.cmd" TargetMode="External" Id="rId3" /><Relationship Type="http://schemas.openxmlformats.org/officeDocument/2006/relationships/hyperlink" Target="run/Global_Transfer_TC_004.cmd" TargetMode="External" Id="rId4" /></Relationships>
</file>

<file path=xl/worksheets/_rels/sheet8.xml.rels><Relationships xmlns="http://schemas.openxmlformats.org/package/2006/relationships"><Relationship Type="http://schemas.openxmlformats.org/officeDocument/2006/relationships/hyperlink" Target="run/Profile_TC_001.cmd" TargetMode="External" Id="rId1" /><Relationship Type="http://schemas.openxmlformats.org/officeDocument/2006/relationships/hyperlink" Target="run/Profile_TC_002.cmd" TargetMode="External" Id="rId2" /><Relationship Type="http://schemas.openxmlformats.org/officeDocument/2006/relationships/hyperlink" Target="run/Profile_TC_003.cmd" TargetMode="External" Id="rId3" /></Relationships>
</file>

<file path=xl/worksheets/_rels/sheet9.xml.rels><Relationships xmlns="http://schemas.openxmlformats.org/package/2006/relationships"><Relationship Type="http://schemas.openxmlformats.org/officeDocument/2006/relationships/hyperlink" Target="run/End_To_End_TC_001.cmd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.6" customWidth="1" min="1" max="1"/>
    <col width="15" customWidth="1" min="2" max="2"/>
    <col width="40" customWidth="1" min="3" max="3"/>
    <col width="12.6" customWidth="1" min="4" max="4"/>
    <col width="22" customWidth="1" min="5" max="5"/>
    <col width="34" customWidth="1" min="6" max="6"/>
    <col width="18" customWidth="1" min="7" max="7"/>
    <col width="34" customWidth="1" min="8" max="8"/>
    <col width="20" customWidth="1" min="9" max="9"/>
    <col width="34" customWidth="1" min="10" max="10"/>
    <col width="10" customWidth="1" min="11" max="11"/>
    <col width="10" customWidth="1" min="12" max="12"/>
    <col width="10" customWidth="1" min="13" max="13"/>
    <col width="12" customWidth="1" min="14" max="14"/>
    <col width="18" customWidth="1" min="15" max="15"/>
    <col width="18" customWidth="1" min="16" max="16"/>
    <col width="12" customWidth="1" min="17" max="17"/>
    <col width="14" customWidth="1" min="18" max="18"/>
    <col width="10" customWidth="1" min="19" max="19"/>
  </cols>
  <sheetData>
    <row r="1">
      <c r="A1" s="1" t="inlineStr">
        <is>
          <t>Project Name</t>
        </is>
      </c>
      <c r="B1" t="inlineStr">
        <is>
          <t>UMPay Mobile</t>
        </is>
      </c>
    </row>
    <row r="2">
      <c r="A2" s="1" t="inlineStr">
        <is>
          <t>Module/Feature Name</t>
        </is>
      </c>
      <c r="B2" t="inlineStr">
        <is>
          <t>Login</t>
        </is>
      </c>
      <c r="P2" t="inlineStr">
        <is>
          <t>HIGH</t>
        </is>
      </c>
      <c r="Q2" t="inlineStr">
        <is>
          <t>MEDIUM</t>
        </is>
      </c>
      <c r="R2" t="inlineStr">
        <is>
          <t>LOW</t>
        </is>
      </c>
    </row>
    <row r="3">
      <c r="A3" s="1" t="inlineStr">
        <is>
          <t>Reference Document</t>
        </is>
      </c>
      <c r="B3" t="inlineStr">
        <is>
          <t>UMPayLogin.feature</t>
        </is>
      </c>
      <c r="N3" s="1" t="inlineStr">
        <is>
          <t>PASS</t>
        </is>
      </c>
      <c r="O3">
        <f>COUNTIF(K:K,"PASS")</f>
        <v/>
      </c>
      <c r="P3">
        <f>COUNTIFS(K:K,"PASS",L:L,"HIGH")</f>
        <v/>
      </c>
      <c r="Q3">
        <f>COUNTIFS(K:K,"PASS",L:L,"MEDIUM")</f>
        <v/>
      </c>
      <c r="R3">
        <f>COUNTIFS(K:K,"PASS",L:L,"LOW")</f>
        <v/>
      </c>
    </row>
    <row r="4">
      <c r="A4" s="1" t="inlineStr">
        <is>
          <t>Created By</t>
        </is>
      </c>
      <c r="B4" t="inlineStr">
        <is>
          <t>KIMA</t>
        </is>
      </c>
      <c r="N4" s="1" t="inlineStr">
        <is>
          <t>FAIL</t>
        </is>
      </c>
      <c r="O4">
        <f>COUNTIF(K:K,"FAIL")</f>
        <v/>
      </c>
      <c r="P4">
        <f>COUNTIFS(K:K,"FAIL",L:L,"HIGH")</f>
        <v/>
      </c>
      <c r="Q4">
        <f>COUNTIFS(K:K,"FAIL",L:L,"MEDIUM")</f>
        <v/>
      </c>
      <c r="R4">
        <f>COUNTIFS(K:K,"FAIL",L:L,"LOW")</f>
        <v/>
      </c>
    </row>
    <row r="5">
      <c r="A5" s="1" t="inlineStr">
        <is>
          <t>Date of Creation</t>
        </is>
      </c>
      <c r="B5" s="12" t="n">
        <v>46274</v>
      </c>
      <c r="N5" s="1" t="inlineStr">
        <is>
          <t>PENDING</t>
        </is>
      </c>
      <c r="O5">
        <f>COUNTIF(K:K,"PENDING")</f>
        <v/>
      </c>
      <c r="P5">
        <f>COUNTIFS(K:K,"PENDING",L:L,"HIGH")</f>
        <v/>
      </c>
      <c r="Q5">
        <f>COUNTIFS(K:K,"PENDING",L:L,"MEDIUM")</f>
        <v/>
      </c>
      <c r="R5">
        <f>COUNTIFS(K:K,"PENDING",L:L,"LOW")</f>
        <v/>
      </c>
    </row>
    <row r="6">
      <c r="A6" s="1" t="inlineStr">
        <is>
          <t>Date of Review</t>
        </is>
      </c>
      <c r="B6" s="12" t="n">
        <v>46274</v>
      </c>
    </row>
    <row r="8">
      <c r="A8" s="3" t="inlineStr">
        <is>
          <t>TEST CASE ID</t>
        </is>
      </c>
      <c r="B8" s="3" t="inlineStr">
        <is>
          <t>TEST SCENARIO</t>
        </is>
      </c>
      <c r="C8" s="3" t="inlineStr">
        <is>
          <t>TEST CASE</t>
        </is>
      </c>
      <c r="D8" s="3" t="inlineStr">
        <is>
          <t>TEST CATEGORY</t>
        </is>
      </c>
      <c r="E8" s="3" t="inlineStr">
        <is>
          <t>PRE-CONDITION</t>
        </is>
      </c>
      <c r="F8" s="3" t="inlineStr">
        <is>
          <t>TEST STEPS</t>
        </is>
      </c>
      <c r="G8" s="3" t="inlineStr">
        <is>
          <t>TEST DATA</t>
        </is>
      </c>
      <c r="H8" s="3" t="inlineStr">
        <is>
          <t>EXPECTED RESULTS</t>
        </is>
      </c>
      <c r="I8" s="3" t="inlineStr">
        <is>
          <t>POST CONDITION</t>
        </is>
      </c>
      <c r="J8" s="3" t="inlineStr">
        <is>
          <t>ACTUAL RESULT</t>
        </is>
      </c>
      <c r="K8" s="3" t="inlineStr">
        <is>
          <t>STATUS</t>
        </is>
      </c>
      <c r="L8" s="3" t="inlineStr">
        <is>
          <t>PRIORITY</t>
        </is>
      </c>
      <c r="M8" s="3" t="inlineStr">
        <is>
          <t>TESTER</t>
        </is>
      </c>
      <c r="N8" s="3" t="inlineStr">
        <is>
          <t>TEST DATE</t>
        </is>
      </c>
      <c r="O8" s="3" t="inlineStr">
        <is>
          <t>DEVICE</t>
        </is>
      </c>
      <c r="P8" s="3" t="inlineStr">
        <is>
          <t>PLATFORM</t>
        </is>
      </c>
      <c r="Q8" s="3" t="inlineStr">
        <is>
          <t>ISSUE LINK</t>
        </is>
      </c>
      <c r="R8" s="3" t="inlineStr">
        <is>
          <t>COMMENT</t>
        </is>
      </c>
      <c r="S8" s="3" t="inlineStr">
        <is>
          <t>Run</t>
        </is>
      </c>
    </row>
    <row r="9" ht="90" customHeight="1">
      <c r="A9" s="4" t="inlineStr">
        <is>
          <t>TC_001</t>
        </is>
      </c>
      <c r="B9" s="4" t="inlineStr">
        <is>
          <t>Login</t>
        </is>
      </c>
      <c r="C9" s="4" t="inlineStr">
        <is>
          <t>The app opens on a login screen offering both sign in methods</t>
        </is>
      </c>
      <c r="D9" s="4" t="inlineStr">
        <is>
          <t>Positive</t>
        </is>
      </c>
      <c r="E9" s="4" t="inlineStr">
        <is>
          <t>The UMPay app is open on the login screen</t>
        </is>
      </c>
      <c r="F9" s="4" t="inlineStr">
        <is>
          <t>-Given the UMPay app is open on the login screen
-Then the login screen should offer both sign in methods</t>
        </is>
      </c>
      <c r="G9" s="4" t="inlineStr">
        <is>
          <t>Valid UMPay account</t>
        </is>
      </c>
      <c r="H9" s="4" t="inlineStr">
        <is>
          <t>The login screen should offer both sign in methods</t>
        </is>
      </c>
      <c r="I9" s="4" t="inlineStr">
        <is>
          <t>The app is left on the screen the scenario reached</t>
        </is>
      </c>
      <c r="J9" s="4" t="inlineStr">
        <is>
          <t>Ran on Redmi 13C (Android) and behaved as the scenario expects</t>
        </is>
      </c>
      <c r="K9" s="4" t="inlineStr">
        <is>
          <t>PASS</t>
        </is>
      </c>
      <c r="L9" s="4" t="inlineStr">
        <is>
          <t>HIGH</t>
        </is>
      </c>
      <c r="M9" s="4" t="inlineStr">
        <is>
          <t>KIMA</t>
        </is>
      </c>
      <c r="N9" s="13" t="n">
        <v>46274</v>
      </c>
      <c r="O9" s="4" t="inlineStr">
        <is>
          <t>Redmi 13C (Android)</t>
        </is>
      </c>
      <c r="P9" s="4" t="inlineStr">
        <is>
          <t>UMPay Android app</t>
        </is>
      </c>
      <c r="Q9" s="4" t="n"/>
      <c r="R9" s="4" t="n"/>
      <c r="S9" s="14" t="inlineStr">
        <is>
          <t>Run</t>
        </is>
      </c>
    </row>
    <row r="10" ht="90" customHeight="1">
      <c r="A10" s="4" t="inlineStr">
        <is>
          <t>TC_002</t>
        </is>
      </c>
      <c r="B10" s="4" t="inlineStr">
        <is>
          <t>Login</t>
        </is>
      </c>
      <c r="C10" s="4" t="inlineStr">
        <is>
          <t>A valid account signs in and reaches the dashboard</t>
        </is>
      </c>
      <c r="D10" s="4" t="inlineStr">
        <is>
          <t>Positive</t>
        </is>
      </c>
      <c r="E10" s="4" t="inlineStr">
        <is>
          <t>The UMPay app is open on the login screen</t>
        </is>
      </c>
      <c r="F10" s="4" t="inlineStr">
        <is>
          <t>-Given the UMPay app is open on the login screen
-When I sign in with the credentials in "&lt;row&gt;" of "&lt;excelSheetName&gt;" of "&lt;excelFileName&gt;"
-Then I should reach the dashboard
-And the dashboard should offer the money actions</t>
        </is>
      </c>
      <c r="G10" s="4" t="inlineStr">
        <is>
          <t>Login_TestData.xlsx</t>
        </is>
      </c>
      <c r="H10" s="4" t="inlineStr">
        <is>
          <t>I should reach the dashboard; the dashboard should offer the money actions</t>
        </is>
      </c>
      <c r="I10" s="4" t="inlineStr">
        <is>
          <t>The app is left on the screen the scenario reached</t>
        </is>
      </c>
      <c r="J10" s="4" t="inlineStr">
        <is>
          <t>Ran on Redmi 13C (Android) and behaved as the scenario expects</t>
        </is>
      </c>
      <c r="K10" s="4" t="inlineStr">
        <is>
          <t>PASS</t>
        </is>
      </c>
      <c r="L10" s="4" t="inlineStr">
        <is>
          <t>HIGH</t>
        </is>
      </c>
      <c r="M10" s="4" t="inlineStr">
        <is>
          <t>KIMA</t>
        </is>
      </c>
      <c r="N10" s="13" t="n">
        <v>46274</v>
      </c>
      <c r="O10" s="4" t="inlineStr">
        <is>
          <t>Redmi 13C (Android)</t>
        </is>
      </c>
      <c r="P10" s="4" t="inlineStr">
        <is>
          <t>UMPay Android app</t>
        </is>
      </c>
      <c r="Q10" s="4" t="n"/>
      <c r="R10" s="4" t="n"/>
      <c r="S10" s="14" t="inlineStr">
        <is>
          <t>Run</t>
        </is>
      </c>
    </row>
    <row r="11" ht="90" customHeight="1">
      <c r="A11" s="4" t="inlineStr">
        <is>
          <t>TC_003</t>
        </is>
      </c>
      <c r="B11" s="4" t="inlineStr">
        <is>
          <t>Login</t>
        </is>
      </c>
      <c r="C11" s="4" t="inlineStr">
        <is>
          <t>A signed in user can sign out again</t>
        </is>
      </c>
      <c r="D11" s="4" t="inlineStr">
        <is>
          <t>Positive</t>
        </is>
      </c>
      <c r="E11" s="4" t="inlineStr">
        <is>
          <t>I log into the UMPay application with valid credentials</t>
        </is>
      </c>
      <c r="F11" s="4" t="inlineStr">
        <is>
          <t>-Given I log into the UMPay application with valid credentials using "&lt;row&gt;" of "&lt;excelSheetName&gt;" of "&lt;excelFileName&gt;"
-When I sign out
-Then I should be back on the login screen</t>
        </is>
      </c>
      <c r="G11" s="4" t="inlineStr">
        <is>
          <t>Login_TestData.xlsx</t>
        </is>
      </c>
      <c r="H11" s="4" t="inlineStr">
        <is>
          <t>I should be back on the login screen</t>
        </is>
      </c>
      <c r="I11" s="4" t="inlineStr">
        <is>
          <t>The app is left on the screen the scenario reached</t>
        </is>
      </c>
      <c r="J11" s="4" t="inlineStr">
        <is>
          <t>Ran on Redmi 13C (Android) and behaved as the scenario expects</t>
        </is>
      </c>
      <c r="K11" s="4" t="inlineStr">
        <is>
          <t>PASS</t>
        </is>
      </c>
      <c r="L11" s="4" t="inlineStr">
        <is>
          <t>HIGH</t>
        </is>
      </c>
      <c r="M11" s="4" t="inlineStr">
        <is>
          <t>KIMA</t>
        </is>
      </c>
      <c r="N11" s="13" t="n">
        <v>46274</v>
      </c>
      <c r="O11" s="4" t="inlineStr">
        <is>
          <t>Redmi 13C (Android)</t>
        </is>
      </c>
      <c r="P11" s="4" t="inlineStr">
        <is>
          <t>UMPay Android app</t>
        </is>
      </c>
      <c r="Q11" s="4" t="n"/>
      <c r="R11" s="4" t="n"/>
      <c r="S11" s="14" t="inlineStr">
        <is>
          <t>Run</t>
        </is>
      </c>
    </row>
  </sheetData>
  <dataValidations count="3">
    <dataValidation sqref="K9:K11" showDropDown="0" showInputMessage="0" showErrorMessage="0" allowBlank="1" type="list">
      <formula1>"PASS,FAIL,PENDING"</formula1>
    </dataValidation>
    <dataValidation sqref="L9:L11" showDropDown="0" showInputMessage="0" showErrorMessage="0" allowBlank="1" type="list">
      <formula1>"HIGH,MEDIUM,LOW"</formula1>
    </dataValidation>
    <dataValidation sqref="D9:D11" showDropDown="0" showInputMessage="0" showErrorMessage="0" allowBlank="1" type="list">
      <formula1>"Positive,Negative"</formula1>
    </dataValidation>
  </dataValidations>
  <hyperlinks>
    <hyperlink xmlns:r="http://schemas.openxmlformats.org/officeDocument/2006/relationships" ref="S9" r:id="rId1"/>
    <hyperlink xmlns:r="http://schemas.openxmlformats.org/officeDocument/2006/relationships" ref="S10" r:id="rId2"/>
    <hyperlink xmlns:r="http://schemas.openxmlformats.org/officeDocument/2006/relationships" ref="S11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.6" customWidth="1" min="1" max="1"/>
    <col width="15" customWidth="1" min="2" max="2"/>
    <col width="40" customWidth="1" min="3" max="3"/>
    <col width="12.6" customWidth="1" min="4" max="4"/>
    <col width="22" customWidth="1" min="5" max="5"/>
    <col width="34" customWidth="1" min="6" max="6"/>
    <col width="18" customWidth="1" min="7" max="7"/>
    <col width="34" customWidth="1" min="8" max="8"/>
    <col width="20" customWidth="1" min="9" max="9"/>
    <col width="34" customWidth="1" min="10" max="10"/>
    <col width="10" customWidth="1" min="11" max="11"/>
    <col width="10" customWidth="1" min="12" max="12"/>
    <col width="10" customWidth="1" min="13" max="13"/>
    <col width="12" customWidth="1" min="14" max="14"/>
    <col width="18" customWidth="1" min="15" max="15"/>
    <col width="18" customWidth="1" min="16" max="16"/>
    <col width="12" customWidth="1" min="17" max="17"/>
    <col width="14" customWidth="1" min="18" max="18"/>
    <col width="10" customWidth="1" min="19" max="19"/>
  </cols>
  <sheetData>
    <row r="1">
      <c r="A1" s="1" t="inlineStr">
        <is>
          <t>Project Name</t>
        </is>
      </c>
      <c r="B1" t="inlineStr">
        <is>
          <t>UMPay Mobile</t>
        </is>
      </c>
    </row>
    <row r="2">
      <c r="A2" s="1" t="inlineStr">
        <is>
          <t>Module/Feature Name</t>
        </is>
      </c>
      <c r="B2" t="inlineStr">
        <is>
          <t>Register</t>
        </is>
      </c>
      <c r="P2" t="inlineStr">
        <is>
          <t>HIGH</t>
        </is>
      </c>
      <c r="Q2" t="inlineStr">
        <is>
          <t>MEDIUM</t>
        </is>
      </c>
      <c r="R2" t="inlineStr">
        <is>
          <t>LOW</t>
        </is>
      </c>
    </row>
    <row r="3">
      <c r="A3" s="1" t="inlineStr">
        <is>
          <t>Reference Document</t>
        </is>
      </c>
      <c r="B3" t="inlineStr">
        <is>
          <t>Register.feature</t>
        </is>
      </c>
      <c r="N3" s="1" t="inlineStr">
        <is>
          <t>PASS</t>
        </is>
      </c>
      <c r="O3">
        <f>COUNTIF(K:K,"PASS")</f>
        <v/>
      </c>
      <c r="P3">
        <f>COUNTIFS(K:K,"PASS",L:L,"HIGH")</f>
        <v/>
      </c>
      <c r="Q3">
        <f>COUNTIFS(K:K,"PASS",L:L,"MEDIUM")</f>
        <v/>
      </c>
      <c r="R3">
        <f>COUNTIFS(K:K,"PASS",L:L,"LOW")</f>
        <v/>
      </c>
    </row>
    <row r="4">
      <c r="A4" s="1" t="inlineStr">
        <is>
          <t>Created By</t>
        </is>
      </c>
      <c r="B4" t="inlineStr">
        <is>
          <t>KIMA</t>
        </is>
      </c>
      <c r="N4" s="1" t="inlineStr">
        <is>
          <t>FAIL</t>
        </is>
      </c>
      <c r="O4">
        <f>COUNTIF(K:K,"FAIL")</f>
        <v/>
      </c>
      <c r="P4">
        <f>COUNTIFS(K:K,"FAIL",L:L,"HIGH")</f>
        <v/>
      </c>
      <c r="Q4">
        <f>COUNTIFS(K:K,"FAIL",L:L,"MEDIUM")</f>
        <v/>
      </c>
      <c r="R4">
        <f>COUNTIFS(K:K,"FAIL",L:L,"LOW")</f>
        <v/>
      </c>
    </row>
    <row r="5">
      <c r="A5" s="1" t="inlineStr">
        <is>
          <t>Date of Creation</t>
        </is>
      </c>
      <c r="B5" s="12" t="n">
        <v>46274</v>
      </c>
      <c r="N5" s="1" t="inlineStr">
        <is>
          <t>PENDING</t>
        </is>
      </c>
      <c r="O5">
        <f>COUNTIF(K:K,"PENDING")</f>
        <v/>
      </c>
      <c r="P5">
        <f>COUNTIFS(K:K,"PENDING",L:L,"HIGH")</f>
        <v/>
      </c>
      <c r="Q5">
        <f>COUNTIFS(K:K,"PENDING",L:L,"MEDIUM")</f>
        <v/>
      </c>
      <c r="R5">
        <f>COUNTIFS(K:K,"PENDING",L:L,"LOW")</f>
        <v/>
      </c>
    </row>
    <row r="6">
      <c r="A6" s="1" t="inlineStr">
        <is>
          <t>Date of Review</t>
        </is>
      </c>
      <c r="B6" s="12" t="n">
        <v>46274</v>
      </c>
    </row>
    <row r="8">
      <c r="A8" s="3" t="inlineStr">
        <is>
          <t>TEST CASE ID</t>
        </is>
      </c>
      <c r="B8" s="3" t="inlineStr">
        <is>
          <t>TEST SCENARIO</t>
        </is>
      </c>
      <c r="C8" s="3" t="inlineStr">
        <is>
          <t>TEST CASE</t>
        </is>
      </c>
      <c r="D8" s="3" t="inlineStr">
        <is>
          <t>TEST CATEGORY</t>
        </is>
      </c>
      <c r="E8" s="3" t="inlineStr">
        <is>
          <t>PRE-CONDITION</t>
        </is>
      </c>
      <c r="F8" s="3" t="inlineStr">
        <is>
          <t>TEST STEPS</t>
        </is>
      </c>
      <c r="G8" s="3" t="inlineStr">
        <is>
          <t>TEST DATA</t>
        </is>
      </c>
      <c r="H8" s="3" t="inlineStr">
        <is>
          <t>EXPECTED RESULTS</t>
        </is>
      </c>
      <c r="I8" s="3" t="inlineStr">
        <is>
          <t>POST CONDITION</t>
        </is>
      </c>
      <c r="J8" s="3" t="inlineStr">
        <is>
          <t>ACTUAL RESULT</t>
        </is>
      </c>
      <c r="K8" s="3" t="inlineStr">
        <is>
          <t>STATUS</t>
        </is>
      </c>
      <c r="L8" s="3" t="inlineStr">
        <is>
          <t>PRIORITY</t>
        </is>
      </c>
      <c r="M8" s="3" t="inlineStr">
        <is>
          <t>TESTER</t>
        </is>
      </c>
      <c r="N8" s="3" t="inlineStr">
        <is>
          <t>TEST DATE</t>
        </is>
      </c>
      <c r="O8" s="3" t="inlineStr">
        <is>
          <t>DEVICE</t>
        </is>
      </c>
      <c r="P8" s="3" t="inlineStr">
        <is>
          <t>PLATFORM</t>
        </is>
      </c>
      <c r="Q8" s="3" t="inlineStr">
        <is>
          <t>ISSUE LINK</t>
        </is>
      </c>
      <c r="R8" s="3" t="inlineStr">
        <is>
          <t>COMMENT</t>
        </is>
      </c>
      <c r="S8" s="3" t="inlineStr">
        <is>
          <t>Run</t>
        </is>
      </c>
    </row>
    <row r="9" ht="90" customHeight="1">
      <c r="A9" s="4" t="inlineStr">
        <is>
          <t>TC_001</t>
        </is>
      </c>
      <c r="B9" s="4" t="inlineStr">
        <is>
          <t>Register</t>
        </is>
      </c>
      <c r="C9" s="4" t="inlineStr">
        <is>
          <t>A new account is registered and the app asks to verify the email address</t>
        </is>
      </c>
      <c r="D9" s="4" t="inlineStr">
        <is>
          <t>Positive</t>
        </is>
      </c>
      <c r="E9" s="4" t="inlineStr">
        <is>
          <t>The UMPay app is open on the login screen</t>
        </is>
      </c>
      <c r="F9" s="4" t="inlineStr">
        <is>
          <t>-Given the UMPay app is open on the login screen
-When I open the registration form
-And I fill in the registration form using "&lt;row&gt;" of "&lt;excelSheetName&gt;" of "&lt;excelFileName&gt;"
-And I solve the captcha and submit the form
-Then the app should ask for the emailed verification code
-And the app is closed</t>
        </is>
      </c>
      <c r="G9" s="4" t="inlineStr">
        <is>
          <t>Register_TestData.xlsx</t>
        </is>
      </c>
      <c r="H9" s="4" t="inlineStr">
        <is>
          <t>The app should ask for the emailed verification code; the app is closed</t>
        </is>
      </c>
      <c r="I9" s="4" t="inlineStr">
        <is>
          <t>The app is left on the screen the scenario reached</t>
        </is>
      </c>
      <c r="J9" s="4" t="inlineStr">
        <is>
          <t>Not run in this pass. The runner holds @register and @e2e back from an unattended run - a registration makes a real account, solves a captcha and reads a code out of a mailbox, and the journey drives every form a second time on the one device this suite has. Launch it on its own with the Run link beside this row</t>
        </is>
      </c>
      <c r="K9" s="4" t="inlineStr">
        <is>
          <t>PENDING</t>
        </is>
      </c>
      <c r="L9" s="4" t="inlineStr">
        <is>
          <t>MEDIUM</t>
        </is>
      </c>
      <c r="M9" s="4" t="inlineStr">
        <is>
          <t>KIMA</t>
        </is>
      </c>
      <c r="N9" s="13" t="n">
        <v>46274</v>
      </c>
      <c r="O9" s="4" t="inlineStr">
        <is>
          <t>Redmi 13C (Android)</t>
        </is>
      </c>
      <c r="P9" s="4" t="inlineStr">
        <is>
          <t>UMPay Android app</t>
        </is>
      </c>
      <c r="Q9" s="4" t="n"/>
      <c r="R9" s="4" t="n"/>
      <c r="S9" s="14" t="inlineStr">
        <is>
          <t>Run</t>
        </is>
      </c>
    </row>
  </sheetData>
  <dataValidations count="3">
    <dataValidation sqref="K9" showDropDown="0" showInputMessage="0" showErrorMessage="0" allowBlank="1" type="list">
      <formula1>"PASS,FAIL,PENDING"</formula1>
    </dataValidation>
    <dataValidation sqref="L9" showDropDown="0" showInputMessage="0" showErrorMessage="0" allowBlank="1" type="list">
      <formula1>"HIGH,MEDIUM,LOW"</formula1>
    </dataValidation>
    <dataValidation sqref="D9" showDropDown="0" showInputMessage="0" showErrorMessage="0" allowBlank="1" type="list">
      <formula1>"Positive,Negative"</formula1>
    </dataValidation>
  </dataValidations>
  <hyperlinks>
    <hyperlink xmlns:r="http://schemas.openxmlformats.org/officeDocument/2006/relationships" ref="S9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.6" customWidth="1" min="1" max="1"/>
    <col width="15" customWidth="1" min="2" max="2"/>
    <col width="40" customWidth="1" min="3" max="3"/>
    <col width="12.6" customWidth="1" min="4" max="4"/>
    <col width="22" customWidth="1" min="5" max="5"/>
    <col width="34" customWidth="1" min="6" max="6"/>
    <col width="18" customWidth="1" min="7" max="7"/>
    <col width="34" customWidth="1" min="8" max="8"/>
    <col width="20" customWidth="1" min="9" max="9"/>
    <col width="34" customWidth="1" min="10" max="10"/>
    <col width="10" customWidth="1" min="11" max="11"/>
    <col width="10" customWidth="1" min="12" max="12"/>
    <col width="10" customWidth="1" min="13" max="13"/>
    <col width="12" customWidth="1" min="14" max="14"/>
    <col width="18" customWidth="1" min="15" max="15"/>
    <col width="18" customWidth="1" min="16" max="16"/>
    <col width="12" customWidth="1" min="17" max="17"/>
    <col width="14" customWidth="1" min="18" max="18"/>
    <col width="10" customWidth="1" min="19" max="19"/>
  </cols>
  <sheetData>
    <row r="1">
      <c r="A1" s="1" t="inlineStr">
        <is>
          <t>Project Name</t>
        </is>
      </c>
      <c r="B1" t="inlineStr">
        <is>
          <t>UMPay Mobile</t>
        </is>
      </c>
    </row>
    <row r="2">
      <c r="A2" s="1" t="inlineStr">
        <is>
          <t>Module/Feature Name</t>
        </is>
      </c>
      <c r="B2" t="inlineStr">
        <is>
          <t>Deposit</t>
        </is>
      </c>
      <c r="P2" t="inlineStr">
        <is>
          <t>HIGH</t>
        </is>
      </c>
      <c r="Q2" t="inlineStr">
        <is>
          <t>MEDIUM</t>
        </is>
      </c>
      <c r="R2" t="inlineStr">
        <is>
          <t>LOW</t>
        </is>
      </c>
    </row>
    <row r="3">
      <c r="A3" s="1" t="inlineStr">
        <is>
          <t>Reference Document</t>
        </is>
      </c>
      <c r="B3" t="inlineStr">
        <is>
          <t>Deposit.feature</t>
        </is>
      </c>
      <c r="N3" s="1" t="inlineStr">
        <is>
          <t>PASS</t>
        </is>
      </c>
      <c r="O3">
        <f>COUNTIF(K:K,"PASS")</f>
        <v/>
      </c>
      <c r="P3">
        <f>COUNTIFS(K:K,"PASS",L:L,"HIGH")</f>
        <v/>
      </c>
      <c r="Q3">
        <f>COUNTIFS(K:K,"PASS",L:L,"MEDIUM")</f>
        <v/>
      </c>
      <c r="R3">
        <f>COUNTIFS(K:K,"PASS",L:L,"LOW")</f>
        <v/>
      </c>
    </row>
    <row r="4">
      <c r="A4" s="1" t="inlineStr">
        <is>
          <t>Created By</t>
        </is>
      </c>
      <c r="B4" t="inlineStr">
        <is>
          <t>KIMA</t>
        </is>
      </c>
      <c r="N4" s="1" t="inlineStr">
        <is>
          <t>FAIL</t>
        </is>
      </c>
      <c r="O4">
        <f>COUNTIF(K:K,"FAIL")</f>
        <v/>
      </c>
      <c r="P4">
        <f>COUNTIFS(K:K,"FAIL",L:L,"HIGH")</f>
        <v/>
      </c>
      <c r="Q4">
        <f>COUNTIFS(K:K,"FAIL",L:L,"MEDIUM")</f>
        <v/>
      </c>
      <c r="R4">
        <f>COUNTIFS(K:K,"FAIL",L:L,"LOW")</f>
        <v/>
      </c>
    </row>
    <row r="5">
      <c r="A5" s="1" t="inlineStr">
        <is>
          <t>Date of Creation</t>
        </is>
      </c>
      <c r="B5" s="12" t="n">
        <v>46274</v>
      </c>
      <c r="N5" s="1" t="inlineStr">
        <is>
          <t>PENDING</t>
        </is>
      </c>
      <c r="O5">
        <f>COUNTIF(K:K,"PENDING")</f>
        <v/>
      </c>
      <c r="P5">
        <f>COUNTIFS(K:K,"PENDING",L:L,"HIGH")</f>
        <v/>
      </c>
      <c r="Q5">
        <f>COUNTIFS(K:K,"PENDING",L:L,"MEDIUM")</f>
        <v/>
      </c>
      <c r="R5">
        <f>COUNTIFS(K:K,"PENDING",L:L,"LOW")</f>
        <v/>
      </c>
    </row>
    <row r="6">
      <c r="A6" s="1" t="inlineStr">
        <is>
          <t>Date of Review</t>
        </is>
      </c>
      <c r="B6" s="12" t="n">
        <v>46274</v>
      </c>
    </row>
    <row r="8">
      <c r="A8" s="3" t="inlineStr">
        <is>
          <t>TEST CASE ID</t>
        </is>
      </c>
      <c r="B8" s="3" t="inlineStr">
        <is>
          <t>TEST SCENARIO</t>
        </is>
      </c>
      <c r="C8" s="3" t="inlineStr">
        <is>
          <t>TEST CASE</t>
        </is>
      </c>
      <c r="D8" s="3" t="inlineStr">
        <is>
          <t>TEST CATEGORY</t>
        </is>
      </c>
      <c r="E8" s="3" t="inlineStr">
        <is>
          <t>PRE-CONDITION</t>
        </is>
      </c>
      <c r="F8" s="3" t="inlineStr">
        <is>
          <t>TEST STEPS</t>
        </is>
      </c>
      <c r="G8" s="3" t="inlineStr">
        <is>
          <t>TEST DATA</t>
        </is>
      </c>
      <c r="H8" s="3" t="inlineStr">
        <is>
          <t>EXPECTED RESULTS</t>
        </is>
      </c>
      <c r="I8" s="3" t="inlineStr">
        <is>
          <t>POST CONDITION</t>
        </is>
      </c>
      <c r="J8" s="3" t="inlineStr">
        <is>
          <t>ACTUAL RESULT</t>
        </is>
      </c>
      <c r="K8" s="3" t="inlineStr">
        <is>
          <t>STATUS</t>
        </is>
      </c>
      <c r="L8" s="3" t="inlineStr">
        <is>
          <t>PRIORITY</t>
        </is>
      </c>
      <c r="M8" s="3" t="inlineStr">
        <is>
          <t>TESTER</t>
        </is>
      </c>
      <c r="N8" s="3" t="inlineStr">
        <is>
          <t>TEST DATE</t>
        </is>
      </c>
      <c r="O8" s="3" t="inlineStr">
        <is>
          <t>DEVICE</t>
        </is>
      </c>
      <c r="P8" s="3" t="inlineStr">
        <is>
          <t>PLATFORM</t>
        </is>
      </c>
      <c r="Q8" s="3" t="inlineStr">
        <is>
          <t>ISSUE LINK</t>
        </is>
      </c>
      <c r="R8" s="3" t="inlineStr">
        <is>
          <t>COMMENT</t>
        </is>
      </c>
      <c r="S8" s="3" t="inlineStr">
        <is>
          <t>Run</t>
        </is>
      </c>
    </row>
    <row r="9" ht="90" customHeight="1">
      <c r="A9" s="4" t="inlineStr">
        <is>
          <t>TC_001</t>
        </is>
      </c>
      <c r="B9" s="4" t="inlineStr">
        <is>
          <t>Deposit</t>
        </is>
      </c>
      <c r="C9" s="4" t="inlineStr">
        <is>
          <t>A deposit asks for payment details before it can be confirmed</t>
        </is>
      </c>
      <c r="D9" s="4" t="inlineStr">
        <is>
          <t>Positive</t>
        </is>
      </c>
      <c r="E9" s="4" t="inlineStr">
        <is>
          <t>I log into the UMPay application with valid credentials</t>
        </is>
      </c>
      <c r="F9" s="4" t="inlineStr">
        <is>
          <t>-Given I log into the UMPay application with valid credentials using "&lt;row&gt;" of "&lt;excelSheetName&gt;" of "&lt;excelFileName&gt;"
-When I open the "Deposit" form from the dashboard
-Then the "Deposit" form should be shown
-And the "Confirm" action should be disabled
-When I enter the deposit amount in "&lt;row&gt;" of "&lt;excelSheetName&gt;" of "&lt;excelFileName&gt;"
-Then the amount should be accepted
-And the form should ask for "Payment information"
-And the "Confirm" action should be disabled
-And the transaction is deliberately not submitted</t>
        </is>
      </c>
      <c r="G9" s="4" t="inlineStr">
        <is>
          <t>Deposit_TestData.xlsx</t>
        </is>
      </c>
      <c r="H9" s="4" t="inlineStr">
        <is>
          <t>The "Deposit" form should be shown; the "Confirm" action should be disabled; the amount should be accepted; the form should ask for "Payment information"; the transaction is deliberately not submitted</t>
        </is>
      </c>
      <c r="I9" s="4" t="inlineStr">
        <is>
          <t>The app is left on the screen the scenario reached</t>
        </is>
      </c>
      <c r="J9" s="4" t="inlineStr">
        <is>
          <t>Ran on Redmi 13C (Android) and behaved as the scenario expects</t>
        </is>
      </c>
      <c r="K9" s="4" t="inlineStr">
        <is>
          <t>PASS</t>
        </is>
      </c>
      <c r="L9" s="4" t="inlineStr">
        <is>
          <t>MEDIUM</t>
        </is>
      </c>
      <c r="M9" s="4" t="inlineStr">
        <is>
          <t>KIMA</t>
        </is>
      </c>
      <c r="N9" s="13" t="n">
        <v>46274</v>
      </c>
      <c r="O9" s="4" t="inlineStr">
        <is>
          <t>Redmi 13C (Android)</t>
        </is>
      </c>
      <c r="P9" s="4" t="inlineStr">
        <is>
          <t>UMPay Android app</t>
        </is>
      </c>
      <c r="Q9" s="4" t="n"/>
      <c r="R9" s="4" t="n"/>
      <c r="S9" s="14" t="inlineStr">
        <is>
          <t>Run</t>
        </is>
      </c>
    </row>
  </sheetData>
  <dataValidations count="3">
    <dataValidation sqref="K9" showDropDown="0" showInputMessage="0" showErrorMessage="0" allowBlank="1" type="list">
      <formula1>"PASS,FAIL,PENDING"</formula1>
    </dataValidation>
    <dataValidation sqref="L9" showDropDown="0" showInputMessage="0" showErrorMessage="0" allowBlank="1" type="list">
      <formula1>"HIGH,MEDIUM,LOW"</formula1>
    </dataValidation>
    <dataValidation sqref="D9" showDropDown="0" showInputMessage="0" showErrorMessage="0" allowBlank="1" type="list">
      <formula1>"Positive,Negative"</formula1>
    </dataValidation>
  </dataValidations>
  <hyperlinks>
    <hyperlink xmlns:r="http://schemas.openxmlformats.org/officeDocument/2006/relationships" ref="S9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.6" customWidth="1" min="1" max="1"/>
    <col width="15" customWidth="1" min="2" max="2"/>
    <col width="40" customWidth="1" min="3" max="3"/>
    <col width="12.6" customWidth="1" min="4" max="4"/>
    <col width="22" customWidth="1" min="5" max="5"/>
    <col width="34" customWidth="1" min="6" max="6"/>
    <col width="18" customWidth="1" min="7" max="7"/>
    <col width="34" customWidth="1" min="8" max="8"/>
    <col width="20" customWidth="1" min="9" max="9"/>
    <col width="34" customWidth="1" min="10" max="10"/>
    <col width="10" customWidth="1" min="11" max="11"/>
    <col width="10" customWidth="1" min="12" max="12"/>
    <col width="10" customWidth="1" min="13" max="13"/>
    <col width="12" customWidth="1" min="14" max="14"/>
    <col width="18" customWidth="1" min="15" max="15"/>
    <col width="18" customWidth="1" min="16" max="16"/>
    <col width="12" customWidth="1" min="17" max="17"/>
    <col width="14" customWidth="1" min="18" max="18"/>
    <col width="10" customWidth="1" min="19" max="19"/>
  </cols>
  <sheetData>
    <row r="1">
      <c r="A1" s="1" t="inlineStr">
        <is>
          <t>Project Name</t>
        </is>
      </c>
      <c r="B1" t="inlineStr">
        <is>
          <t>UMPay Mobile</t>
        </is>
      </c>
    </row>
    <row r="2">
      <c r="A2" s="1" t="inlineStr">
        <is>
          <t>Module/Feature Name</t>
        </is>
      </c>
      <c r="B2" t="inlineStr">
        <is>
          <t>Withdraw</t>
        </is>
      </c>
      <c r="P2" t="inlineStr">
        <is>
          <t>HIGH</t>
        </is>
      </c>
      <c r="Q2" t="inlineStr">
        <is>
          <t>MEDIUM</t>
        </is>
      </c>
      <c r="R2" t="inlineStr">
        <is>
          <t>LOW</t>
        </is>
      </c>
    </row>
    <row r="3">
      <c r="A3" s="1" t="inlineStr">
        <is>
          <t>Reference Document</t>
        </is>
      </c>
      <c r="B3" t="inlineStr">
        <is>
          <t>Withdraw.feature</t>
        </is>
      </c>
      <c r="N3" s="1" t="inlineStr">
        <is>
          <t>PASS</t>
        </is>
      </c>
      <c r="O3">
        <f>COUNTIF(K:K,"PASS")</f>
        <v/>
      </c>
      <c r="P3">
        <f>COUNTIFS(K:K,"PASS",L:L,"HIGH")</f>
        <v/>
      </c>
      <c r="Q3">
        <f>COUNTIFS(K:K,"PASS",L:L,"MEDIUM")</f>
        <v/>
      </c>
      <c r="R3">
        <f>COUNTIFS(K:K,"PASS",L:L,"LOW")</f>
        <v/>
      </c>
    </row>
    <row r="4">
      <c r="A4" s="1" t="inlineStr">
        <is>
          <t>Created By</t>
        </is>
      </c>
      <c r="B4" t="inlineStr">
        <is>
          <t>KIMA</t>
        </is>
      </c>
      <c r="N4" s="1" t="inlineStr">
        <is>
          <t>FAIL</t>
        </is>
      </c>
      <c r="O4">
        <f>COUNTIF(K:K,"FAIL")</f>
        <v/>
      </c>
      <c r="P4">
        <f>COUNTIFS(K:K,"FAIL",L:L,"HIGH")</f>
        <v/>
      </c>
      <c r="Q4">
        <f>COUNTIFS(K:K,"FAIL",L:L,"MEDIUM")</f>
        <v/>
      </c>
      <c r="R4">
        <f>COUNTIFS(K:K,"FAIL",L:L,"LOW")</f>
        <v/>
      </c>
    </row>
    <row r="5">
      <c r="A5" s="1" t="inlineStr">
        <is>
          <t>Date of Creation</t>
        </is>
      </c>
      <c r="B5" s="12" t="n">
        <v>46274</v>
      </c>
      <c r="N5" s="1" t="inlineStr">
        <is>
          <t>PENDING</t>
        </is>
      </c>
      <c r="O5">
        <f>COUNTIF(K:K,"PENDING")</f>
        <v/>
      </c>
      <c r="P5">
        <f>COUNTIFS(K:K,"PENDING",L:L,"HIGH")</f>
        <v/>
      </c>
      <c r="Q5">
        <f>COUNTIFS(K:K,"PENDING",L:L,"MEDIUM")</f>
        <v/>
      </c>
      <c r="R5">
        <f>COUNTIFS(K:K,"PENDING",L:L,"LOW")</f>
        <v/>
      </c>
    </row>
    <row r="6">
      <c r="A6" s="1" t="inlineStr">
        <is>
          <t>Date of Review</t>
        </is>
      </c>
      <c r="B6" s="12" t="n">
        <v>46274</v>
      </c>
    </row>
    <row r="8">
      <c r="A8" s="3" t="inlineStr">
        <is>
          <t>TEST CASE ID</t>
        </is>
      </c>
      <c r="B8" s="3" t="inlineStr">
        <is>
          <t>TEST SCENARIO</t>
        </is>
      </c>
      <c r="C8" s="3" t="inlineStr">
        <is>
          <t>TEST CASE</t>
        </is>
      </c>
      <c r="D8" s="3" t="inlineStr">
        <is>
          <t>TEST CATEGORY</t>
        </is>
      </c>
      <c r="E8" s="3" t="inlineStr">
        <is>
          <t>PRE-CONDITION</t>
        </is>
      </c>
      <c r="F8" s="3" t="inlineStr">
        <is>
          <t>TEST STEPS</t>
        </is>
      </c>
      <c r="G8" s="3" t="inlineStr">
        <is>
          <t>TEST DATA</t>
        </is>
      </c>
      <c r="H8" s="3" t="inlineStr">
        <is>
          <t>EXPECTED RESULTS</t>
        </is>
      </c>
      <c r="I8" s="3" t="inlineStr">
        <is>
          <t>POST CONDITION</t>
        </is>
      </c>
      <c r="J8" s="3" t="inlineStr">
        <is>
          <t>ACTUAL RESULT</t>
        </is>
      </c>
      <c r="K8" s="3" t="inlineStr">
        <is>
          <t>STATUS</t>
        </is>
      </c>
      <c r="L8" s="3" t="inlineStr">
        <is>
          <t>PRIORITY</t>
        </is>
      </c>
      <c r="M8" s="3" t="inlineStr">
        <is>
          <t>TESTER</t>
        </is>
      </c>
      <c r="N8" s="3" t="inlineStr">
        <is>
          <t>TEST DATE</t>
        </is>
      </c>
      <c r="O8" s="3" t="inlineStr">
        <is>
          <t>DEVICE</t>
        </is>
      </c>
      <c r="P8" s="3" t="inlineStr">
        <is>
          <t>PLATFORM</t>
        </is>
      </c>
      <c r="Q8" s="3" t="inlineStr">
        <is>
          <t>ISSUE LINK</t>
        </is>
      </c>
      <c r="R8" s="3" t="inlineStr">
        <is>
          <t>COMMENT</t>
        </is>
      </c>
      <c r="S8" s="3" t="inlineStr">
        <is>
          <t>Run</t>
        </is>
      </c>
    </row>
    <row r="9" ht="90" customHeight="1">
      <c r="A9" s="4" t="inlineStr">
        <is>
          <t>TC_001</t>
        </is>
      </c>
      <c r="B9" s="4" t="inlineStr">
        <is>
          <t>Withdraw</t>
        </is>
      </c>
      <c r="C9" s="4" t="inlineStr">
        <is>
          <t>A withdrawal is validated before it can be confirmed</t>
        </is>
      </c>
      <c r="D9" s="4" t="inlineStr">
        <is>
          <t>Positive</t>
        </is>
      </c>
      <c r="E9" s="4" t="inlineStr">
        <is>
          <t>I log into the UMPay application with valid credentials</t>
        </is>
      </c>
      <c r="F9" s="4" t="inlineStr">
        <is>
          <t>-Given I log into the UMPay application with valid credentials using "&lt;row&gt;" of "&lt;excelSheetName&gt;" of "&lt;excelFileName&gt;"
-When I open the "Withdrawal" form from the dashboard
-Then the "Withdrawal" form should be shown
-When I enter the withdrawal amount in "&lt;row&gt;" of "&lt;excelSheetName&gt;" of "&lt;excelFileName&gt;"
-Then the amount should be accepted
-And the transaction is deliberately not submitted</t>
        </is>
      </c>
      <c r="G9" s="4" t="inlineStr">
        <is>
          <t>Withdraw_TestData.xlsx</t>
        </is>
      </c>
      <c r="H9" s="4" t="inlineStr">
        <is>
          <t>The "Withdrawal" form should be shown; the amount should be accepted; the transaction is deliberately not submitted</t>
        </is>
      </c>
      <c r="I9" s="4" t="inlineStr">
        <is>
          <t>The app is left on the screen the scenario reached</t>
        </is>
      </c>
      <c r="J9" s="4" t="inlineStr">
        <is>
          <t>BLOCKED, not failed - the device lost its network mid-run and the app answered "Network Error - Please check your internet connection", so signing in never completed and the scenario could not begin. Nothing here is a verdict on the application</t>
        </is>
      </c>
      <c r="K9" s="4" t="inlineStr">
        <is>
          <t>PENDING</t>
        </is>
      </c>
      <c r="L9" s="4" t="inlineStr">
        <is>
          <t>MEDIUM</t>
        </is>
      </c>
      <c r="M9" s="4" t="inlineStr">
        <is>
          <t>KIMA</t>
        </is>
      </c>
      <c r="N9" s="13" t="n">
        <v>46274</v>
      </c>
      <c r="O9" s="4" t="inlineStr">
        <is>
          <t>Redmi 13C (Android)</t>
        </is>
      </c>
      <c r="P9" s="4" t="inlineStr">
        <is>
          <t>UMPay Android app</t>
        </is>
      </c>
      <c r="Q9" s="4" t="n"/>
      <c r="R9" s="4" t="n"/>
      <c r="S9" s="14" t="inlineStr">
        <is>
          <t>Run</t>
        </is>
      </c>
    </row>
  </sheetData>
  <dataValidations count="3">
    <dataValidation sqref="K9" showDropDown="0" showInputMessage="0" showErrorMessage="0" allowBlank="1" type="list">
      <formula1>"PASS,FAIL,PENDING"</formula1>
    </dataValidation>
    <dataValidation sqref="L9" showDropDown="0" showInputMessage="0" showErrorMessage="0" allowBlank="1" type="list">
      <formula1>"HIGH,MEDIUM,LOW"</formula1>
    </dataValidation>
    <dataValidation sqref="D9" showDropDown="0" showInputMessage="0" showErrorMessage="0" allowBlank="1" type="list">
      <formula1>"Positive,Negative"</formula1>
    </dataValidation>
  </dataValidations>
  <hyperlinks>
    <hyperlink xmlns:r="http://schemas.openxmlformats.org/officeDocument/2006/relationships" ref="S9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.6" customWidth="1" min="1" max="1"/>
    <col width="15" customWidth="1" min="2" max="2"/>
    <col width="40" customWidth="1" min="3" max="3"/>
    <col width="12.6" customWidth="1" min="4" max="4"/>
    <col width="22" customWidth="1" min="5" max="5"/>
    <col width="34" customWidth="1" min="6" max="6"/>
    <col width="18" customWidth="1" min="7" max="7"/>
    <col width="34" customWidth="1" min="8" max="8"/>
    <col width="20" customWidth="1" min="9" max="9"/>
    <col width="34" customWidth="1" min="10" max="10"/>
    <col width="10" customWidth="1" min="11" max="11"/>
    <col width="10" customWidth="1" min="12" max="12"/>
    <col width="10" customWidth="1" min="13" max="13"/>
    <col width="12" customWidth="1" min="14" max="14"/>
    <col width="18" customWidth="1" min="15" max="15"/>
    <col width="18" customWidth="1" min="16" max="16"/>
    <col width="12" customWidth="1" min="17" max="17"/>
    <col width="14" customWidth="1" min="18" max="18"/>
    <col width="10" customWidth="1" min="19" max="19"/>
  </cols>
  <sheetData>
    <row r="1">
      <c r="A1" s="1" t="inlineStr">
        <is>
          <t>Project Name</t>
        </is>
      </c>
      <c r="B1" t="inlineStr">
        <is>
          <t>UMPay Mobile</t>
        </is>
      </c>
    </row>
    <row r="2">
      <c r="A2" s="1" t="inlineStr">
        <is>
          <t>Module/Feature Name</t>
        </is>
      </c>
      <c r="B2" t="inlineStr">
        <is>
          <t>Transfer</t>
        </is>
      </c>
      <c r="P2" t="inlineStr">
        <is>
          <t>HIGH</t>
        </is>
      </c>
      <c r="Q2" t="inlineStr">
        <is>
          <t>MEDIUM</t>
        </is>
      </c>
      <c r="R2" t="inlineStr">
        <is>
          <t>LOW</t>
        </is>
      </c>
    </row>
    <row r="3">
      <c r="A3" s="1" t="inlineStr">
        <is>
          <t>Reference Document</t>
        </is>
      </c>
      <c r="B3" t="inlineStr">
        <is>
          <t>Transfer.feature</t>
        </is>
      </c>
      <c r="N3" s="1" t="inlineStr">
        <is>
          <t>PASS</t>
        </is>
      </c>
      <c r="O3">
        <f>COUNTIF(K:K,"PASS")</f>
        <v/>
      </c>
      <c r="P3">
        <f>COUNTIFS(K:K,"PASS",L:L,"HIGH")</f>
        <v/>
      </c>
      <c r="Q3">
        <f>COUNTIFS(K:K,"PASS",L:L,"MEDIUM")</f>
        <v/>
      </c>
      <c r="R3">
        <f>COUNTIFS(K:K,"PASS",L:L,"LOW")</f>
        <v/>
      </c>
    </row>
    <row r="4">
      <c r="A4" s="1" t="inlineStr">
        <is>
          <t>Created By</t>
        </is>
      </c>
      <c r="B4" t="inlineStr">
        <is>
          <t>KIMA</t>
        </is>
      </c>
      <c r="N4" s="1" t="inlineStr">
        <is>
          <t>FAIL</t>
        </is>
      </c>
      <c r="O4">
        <f>COUNTIF(K:K,"FAIL")</f>
        <v/>
      </c>
      <c r="P4">
        <f>COUNTIFS(K:K,"FAIL",L:L,"HIGH")</f>
        <v/>
      </c>
      <c r="Q4">
        <f>COUNTIFS(K:K,"FAIL",L:L,"MEDIUM")</f>
        <v/>
      </c>
      <c r="R4">
        <f>COUNTIFS(K:K,"FAIL",L:L,"LOW")</f>
        <v/>
      </c>
    </row>
    <row r="5">
      <c r="A5" s="1" t="inlineStr">
        <is>
          <t>Date of Creation</t>
        </is>
      </c>
      <c r="B5" s="12" t="n">
        <v>46274</v>
      </c>
      <c r="N5" s="1" t="inlineStr">
        <is>
          <t>PENDING</t>
        </is>
      </c>
      <c r="O5">
        <f>COUNTIF(K:K,"PENDING")</f>
        <v/>
      </c>
      <c r="P5">
        <f>COUNTIFS(K:K,"PENDING",L:L,"HIGH")</f>
        <v/>
      </c>
      <c r="Q5">
        <f>COUNTIFS(K:K,"PENDING",L:L,"MEDIUM")</f>
        <v/>
      </c>
      <c r="R5">
        <f>COUNTIFS(K:K,"PENDING",L:L,"LOW")</f>
        <v/>
      </c>
    </row>
    <row r="6">
      <c r="A6" s="1" t="inlineStr">
        <is>
          <t>Date of Review</t>
        </is>
      </c>
      <c r="B6" s="12" t="n">
        <v>46274</v>
      </c>
    </row>
    <row r="8">
      <c r="A8" s="3" t="inlineStr">
        <is>
          <t>TEST CASE ID</t>
        </is>
      </c>
      <c r="B8" s="3" t="inlineStr">
        <is>
          <t>TEST SCENARIO</t>
        </is>
      </c>
      <c r="C8" s="3" t="inlineStr">
        <is>
          <t>TEST CASE</t>
        </is>
      </c>
      <c r="D8" s="3" t="inlineStr">
        <is>
          <t>TEST CATEGORY</t>
        </is>
      </c>
      <c r="E8" s="3" t="inlineStr">
        <is>
          <t>PRE-CONDITION</t>
        </is>
      </c>
      <c r="F8" s="3" t="inlineStr">
        <is>
          <t>TEST STEPS</t>
        </is>
      </c>
      <c r="G8" s="3" t="inlineStr">
        <is>
          <t>TEST DATA</t>
        </is>
      </c>
      <c r="H8" s="3" t="inlineStr">
        <is>
          <t>EXPECTED RESULTS</t>
        </is>
      </c>
      <c r="I8" s="3" t="inlineStr">
        <is>
          <t>POST CONDITION</t>
        </is>
      </c>
      <c r="J8" s="3" t="inlineStr">
        <is>
          <t>ACTUAL RESULT</t>
        </is>
      </c>
      <c r="K8" s="3" t="inlineStr">
        <is>
          <t>STATUS</t>
        </is>
      </c>
      <c r="L8" s="3" t="inlineStr">
        <is>
          <t>PRIORITY</t>
        </is>
      </c>
      <c r="M8" s="3" t="inlineStr">
        <is>
          <t>TESTER</t>
        </is>
      </c>
      <c r="N8" s="3" t="inlineStr">
        <is>
          <t>TEST DATE</t>
        </is>
      </c>
      <c r="O8" s="3" t="inlineStr">
        <is>
          <t>DEVICE</t>
        </is>
      </c>
      <c r="P8" s="3" t="inlineStr">
        <is>
          <t>PLATFORM</t>
        </is>
      </c>
      <c r="Q8" s="3" t="inlineStr">
        <is>
          <t>ISSUE LINK</t>
        </is>
      </c>
      <c r="R8" s="3" t="inlineStr">
        <is>
          <t>COMMENT</t>
        </is>
      </c>
      <c r="S8" s="3" t="inlineStr">
        <is>
          <t>Run</t>
        </is>
      </c>
    </row>
    <row r="9" ht="90" customHeight="1">
      <c r="A9" s="4" t="inlineStr">
        <is>
          <t>TC_001</t>
        </is>
      </c>
      <c r="B9" s="4" t="inlineStr">
        <is>
          <t>Transfer</t>
        </is>
      </c>
      <c r="C9" s="4" t="inlineStr">
        <is>
          <t>The transfer hub offers every destination</t>
        </is>
      </c>
      <c r="D9" s="4" t="inlineStr">
        <is>
          <t>Positive</t>
        </is>
      </c>
      <c r="E9" s="4" t="inlineStr">
        <is>
          <t>I log into the UMPay application with valid credentials</t>
        </is>
      </c>
      <c r="F9" s="4" t="inlineStr">
        <is>
          <t>-Given I log into the UMPay application with valid credentials using "1" of "Sheet1" of "Login_TestData.xlsx"
-When I open the transfer hub
-Then the transfer hub should offer the route "UMPay to Existing template"
-And the transfer hub should offer the route "UMPay to UMPay Wallet"
-And the transfer hub should offer the route "UnionPay China"
-And the transfer hub should offer the route "UnionPay Global"
-And the transfer hub should offer the route "Transfer to AliPay"
-And the transfer hub should offer the route "Transfer to WeChat"</t>
        </is>
      </c>
      <c r="G9" s="4" t="inlineStr">
        <is>
          <t>Login_TestData.xlsx</t>
        </is>
      </c>
      <c r="H9" s="4" t="inlineStr">
        <is>
          <t>The transfer hub should offer the route "UMPay to Existing template"; the transfer hub should offer the route "UMPay to UMPay Wallet"; the transfer hub should offer the route "UnionPay China"; the transfer hub should offer the route "UnionPay Global"; the transfer hub should offer the route "Transfer to AliPay"; the transfer hub should offer the route "Transfer to WeChat"</t>
        </is>
      </c>
      <c r="I9" s="4" t="inlineStr">
        <is>
          <t>The app is left on the screen the scenario reached</t>
        </is>
      </c>
      <c r="J9" s="4" t="inlineStr">
        <is>
          <t>Ran on Redmi 13C (Android) and behaved as the scenario expects</t>
        </is>
      </c>
      <c r="K9" s="4" t="inlineStr">
        <is>
          <t>PASS</t>
        </is>
      </c>
      <c r="L9" s="4" t="inlineStr">
        <is>
          <t>MEDIUM</t>
        </is>
      </c>
      <c r="M9" s="4" t="inlineStr">
        <is>
          <t>KIMA</t>
        </is>
      </c>
      <c r="N9" s="13" t="n">
        <v>46274</v>
      </c>
      <c r="O9" s="4" t="inlineStr">
        <is>
          <t>Redmi 13C (Android)</t>
        </is>
      </c>
      <c r="P9" s="4" t="inlineStr">
        <is>
          <t>UMPay Android app</t>
        </is>
      </c>
      <c r="Q9" s="4" t="n"/>
      <c r="R9" s="4" t="n"/>
      <c r="S9" s="14" t="inlineStr">
        <is>
          <t>Run</t>
        </is>
      </c>
    </row>
    <row r="10" ht="90" customHeight="1">
      <c r="A10" s="4" t="inlineStr">
        <is>
          <t>TC_002</t>
        </is>
      </c>
      <c r="B10" s="4" t="inlineStr">
        <is>
          <t>Transfer</t>
        </is>
      </c>
      <c r="C10" s="4" t="inlineStr">
        <is>
          <t>A payment app route under maintenance refuses to open</t>
        </is>
      </c>
      <c r="D10" s="4" t="inlineStr">
        <is>
          <t>Negative</t>
        </is>
      </c>
      <c r="E10" s="4" t="inlineStr">
        <is>
          <t>I log into the UMPay application with valid credentials</t>
        </is>
      </c>
      <c r="F10" s="4" t="inlineStr">
        <is>
          <t>-Given I log into the UMPay application with valid credentials using "1" of "Sheet1" of "Login_TestData.xlsx"
-When I open the transfer hub
-When I take the "&lt;route&gt;" route
-Then the app should say the service is unavailable</t>
        </is>
      </c>
      <c r="G10" s="4" t="inlineStr">
        <is>
          <t>Login_TestData.xlsx</t>
        </is>
      </c>
      <c r="H10" s="4" t="inlineStr">
        <is>
          <t>The app should say the service is unavailable</t>
        </is>
      </c>
      <c r="I10" s="4" t="inlineStr">
        <is>
          <t>The app is left on the screen the scenario reached</t>
        </is>
      </c>
      <c r="J10" s="4" t="inlineStr">
        <is>
          <t>Ran on Redmi 13C (Android) and behaved as the scenario expects</t>
        </is>
      </c>
      <c r="K10" s="4" t="inlineStr">
        <is>
          <t>PASS</t>
        </is>
      </c>
      <c r="L10" s="4" t="inlineStr">
        <is>
          <t>HIGH</t>
        </is>
      </c>
      <c r="M10" s="4" t="inlineStr">
        <is>
          <t>KIMA</t>
        </is>
      </c>
      <c r="N10" s="13" t="n">
        <v>46274</v>
      </c>
      <c r="O10" s="4" t="inlineStr">
        <is>
          <t>Redmi 13C (Android)</t>
        </is>
      </c>
      <c r="P10" s="4" t="inlineStr">
        <is>
          <t>UMPay Android app</t>
        </is>
      </c>
      <c r="Q10" s="4" t="n"/>
      <c r="R10" s="4" t="n"/>
      <c r="S10" s="14" t="inlineStr">
        <is>
          <t>Run</t>
        </is>
      </c>
    </row>
    <row r="11" ht="90" customHeight="1">
      <c r="A11" s="4" t="inlineStr">
        <is>
          <t>TC_003</t>
        </is>
      </c>
      <c r="B11" s="4" t="inlineStr">
        <is>
          <t>Transfer</t>
        </is>
      </c>
      <c r="C11" s="4" t="inlineStr">
        <is>
          <t>The saved template route opens the list of payees</t>
        </is>
      </c>
      <c r="D11" s="4" t="inlineStr">
        <is>
          <t>Positive</t>
        </is>
      </c>
      <c r="E11" s="4" t="inlineStr">
        <is>
          <t>I log into the UMPay application with valid credentials</t>
        </is>
      </c>
      <c r="F11" s="4" t="inlineStr">
        <is>
          <t>-Given I log into the UMPay application with valid credentials using "1" of "Sheet1" of "Login_TestData.xlsx"
-When I open the transfer hub
-When I take the "UMPay to Existing template" route
-Then the saved template list should be shown
-And the template list should hold at least one saved payee</t>
        </is>
      </c>
      <c r="G11" s="4" t="inlineStr">
        <is>
          <t>Login_TestData.xlsx</t>
        </is>
      </c>
      <c r="H11" s="4" t="inlineStr">
        <is>
          <t>The saved template list should be shown; the template list should hold at least one saved payee</t>
        </is>
      </c>
      <c r="I11" s="4" t="inlineStr">
        <is>
          <t>The app is left on the screen the scenario reached</t>
        </is>
      </c>
      <c r="J11" s="4" t="inlineStr">
        <is>
          <t>Ran on Redmi 13C (Android) and behaved as the scenario expects</t>
        </is>
      </c>
      <c r="K11" s="4" t="inlineStr">
        <is>
          <t>PASS</t>
        </is>
      </c>
      <c r="L11" s="4" t="inlineStr">
        <is>
          <t>MEDIUM</t>
        </is>
      </c>
      <c r="M11" s="4" t="inlineStr">
        <is>
          <t>KIMA</t>
        </is>
      </c>
      <c r="N11" s="13" t="n">
        <v>46274</v>
      </c>
      <c r="O11" s="4" t="inlineStr">
        <is>
          <t>Redmi 13C (Android)</t>
        </is>
      </c>
      <c r="P11" s="4" t="inlineStr">
        <is>
          <t>UMPay Android app</t>
        </is>
      </c>
      <c r="Q11" s="4" t="n"/>
      <c r="R11" s="4" t="n"/>
      <c r="S11" s="14" t="inlineStr">
        <is>
          <t>Run</t>
        </is>
      </c>
    </row>
    <row r="12" ht="90" customHeight="1">
      <c r="A12" s="4" t="inlineStr">
        <is>
          <t>TC_004</t>
        </is>
      </c>
      <c r="B12" s="4" t="inlineStr">
        <is>
          <t>Transfer</t>
        </is>
      </c>
      <c r="C12" s="4" t="inlineStr">
        <is>
          <t>The wallet transfer form asks for everything a wallet transfer needs</t>
        </is>
      </c>
      <c r="D12" s="4" t="inlineStr">
        <is>
          <t>Positive</t>
        </is>
      </c>
      <c r="E12" s="4" t="inlineStr">
        <is>
          <t>I log into the UMPay application with valid credentials</t>
        </is>
      </c>
      <c r="F12" s="4" t="inlineStr">
        <is>
          <t>-Given I log into the UMPay application with valid credentials using "1" of "Sheet1" of "Login_TestData.xlsx"
-When I open the transfer hub
-When I take the "UMPay to UMPay Wallet" route
-Then the wallet transfer form should be shown
-And the wallet form should show the sending wallet and its balance
-And the wallet form should offer a destination wallet field
-And the wallet form should ask for "Transfer Amount"
-And the wallet form should ask for "Minimum: 100.0"
-And the wallet form should ask for "Select who will pay the fee"
-And the wallet form should ask for "Create template"
-And the wallet form should ask for "Remark"</t>
        </is>
      </c>
      <c r="G12" s="4" t="inlineStr">
        <is>
          <t>Login_TestData.xlsx</t>
        </is>
      </c>
      <c r="H12" s="4" t="inlineStr">
        <is>
          <t>The wallet transfer form should be shown; the wallet form should show the sending wallet and its balance; the wallet form should offer a destination wallet field; the wallet form should ask for "Transfer Amount"; the wallet form should ask for "Minimum: 100.0"; the wallet form should ask for "Select who will pay the fee"; the wallet form should ask for "Create template"; the wallet form should ask for "Remark"</t>
        </is>
      </c>
      <c r="I12" s="4" t="inlineStr">
        <is>
          <t>The app is left on the screen the scenario reached</t>
        </is>
      </c>
      <c r="J12" s="4" t="inlineStr">
        <is>
          <t>Ran on Redmi 13C (Android) and behaved as the scenario expects</t>
        </is>
      </c>
      <c r="K12" s="4" t="inlineStr">
        <is>
          <t>PASS</t>
        </is>
      </c>
      <c r="L12" s="4" t="inlineStr">
        <is>
          <t>MEDIUM</t>
        </is>
      </c>
      <c r="M12" s="4" t="inlineStr">
        <is>
          <t>KIMA</t>
        </is>
      </c>
      <c r="N12" s="13" t="n">
        <v>46274</v>
      </c>
      <c r="O12" s="4" t="inlineStr">
        <is>
          <t>Redmi 13C (Android)</t>
        </is>
      </c>
      <c r="P12" s="4" t="inlineStr">
        <is>
          <t>UMPay Android app</t>
        </is>
      </c>
      <c r="Q12" s="4" t="n"/>
      <c r="R12" s="4" t="n"/>
      <c r="S12" s="14" t="inlineStr">
        <is>
          <t>Run</t>
        </is>
      </c>
    </row>
    <row r="13" ht="90" customHeight="1">
      <c r="A13" s="4" t="inlineStr">
        <is>
          <t>TC_005</t>
        </is>
      </c>
      <c r="B13" s="4" t="inlineStr">
        <is>
          <t>Transfer</t>
        </is>
      </c>
      <c r="C13" s="4" t="inlineStr">
        <is>
          <t>A wallet transfer cannot be sent from an empty form</t>
        </is>
      </c>
      <c r="D13" s="4" t="inlineStr">
        <is>
          <t>Negative</t>
        </is>
      </c>
      <c r="E13" s="4" t="inlineStr">
        <is>
          <t>I log into the UMPay application with valid credentials</t>
        </is>
      </c>
      <c r="F13" s="4" t="inlineStr">
        <is>
          <t>-Given I log into the UMPay application with valid credentials using "1" of "Sheet1" of "Login_TestData.xlsx"
-When I open the transfer hub
-When I take the "UMPay to UMPay Wallet" route
-Then the wallet transfer form should be shown
-And the wallet transfer should not be sendable yet
-And the transfer is deliberately not sent</t>
        </is>
      </c>
      <c r="G13" s="4" t="inlineStr">
        <is>
          <t>Login_TestData.xlsx</t>
        </is>
      </c>
      <c r="H13" s="4" t="inlineStr">
        <is>
          <t>The wallet transfer form should be shown; the wallet transfer should not be sendable yet; the transfer is deliberately not sent</t>
        </is>
      </c>
      <c r="I13" s="4" t="inlineStr">
        <is>
          <t>The app is left on the screen the scenario reached</t>
        </is>
      </c>
      <c r="J13" s="4" t="inlineStr">
        <is>
          <t>Ran on Redmi 13C (Android) and behaved as the scenario expects</t>
        </is>
      </c>
      <c r="K13" s="4" t="inlineStr">
        <is>
          <t>PASS</t>
        </is>
      </c>
      <c r="L13" s="4" t="inlineStr">
        <is>
          <t>HIGH</t>
        </is>
      </c>
      <c r="M13" s="4" t="inlineStr">
        <is>
          <t>KIMA</t>
        </is>
      </c>
      <c r="N13" s="13" t="n">
        <v>46274</v>
      </c>
      <c r="O13" s="4" t="inlineStr">
        <is>
          <t>Redmi 13C (Android)</t>
        </is>
      </c>
      <c r="P13" s="4" t="inlineStr">
        <is>
          <t>UMPay Android app</t>
        </is>
      </c>
      <c r="Q13" s="4" t="n"/>
      <c r="R13" s="4" t="n"/>
      <c r="S13" s="14" t="inlineStr">
        <is>
          <t>Run</t>
        </is>
      </c>
    </row>
    <row r="14" ht="90" customHeight="1">
      <c r="A14" s="4" t="inlineStr">
        <is>
          <t>TC_006</t>
        </is>
      </c>
      <c r="B14" s="4" t="inlineStr">
        <is>
          <t>Transfer</t>
        </is>
      </c>
      <c r="C14" s="4" t="inlineStr">
        <is>
          <t>Either party can be chosen to pay the wallet transfer fee</t>
        </is>
      </c>
      <c r="D14" s="4" t="inlineStr">
        <is>
          <t>Positive</t>
        </is>
      </c>
      <c r="E14" s="4" t="inlineStr">
        <is>
          <t>I log into the UMPay application with valid credentials</t>
        </is>
      </c>
      <c r="F14" s="4" t="inlineStr">
        <is>
          <t>-Given I log into the UMPay application with valid credentials using "1" of "Sheet1" of "Login_TestData.xlsx"
-When I open the transfer hub
-When I take the "UMPay to UMPay Wallet" route
-Then the wallet transfer form should be shown
-And the wallet form should offer both parties as the fee payer
-When I choose "Fee will be paid by me" to pay the fee
-Then the fee payer choice "Fee will be paid by other party" should still be offered
-When I choose "Fee will be paid by other party" to pay the fee
-Then the fee payer choice "Fee will be paid by me" should still be offered</t>
        </is>
      </c>
      <c r="G14" s="4" t="inlineStr">
        <is>
          <t>Login_TestData.xlsx</t>
        </is>
      </c>
      <c r="H14" s="4" t="inlineStr">
        <is>
          <t>The wallet transfer form should be shown; the wallet form should offer both parties as the fee payer; the fee payer choice "Fee will be paid by other party" should still be offered; the fee payer choice "Fee will be paid by me" should still be offered</t>
        </is>
      </c>
      <c r="I14" s="4" t="inlineStr">
        <is>
          <t>The app is left on the screen the scenario reached</t>
        </is>
      </c>
      <c r="J14" s="4" t="inlineStr">
        <is>
          <t>Ran on Redmi 13C (Android) and behaved as the scenario expects</t>
        </is>
      </c>
      <c r="K14" s="4" t="inlineStr">
        <is>
          <t>PASS</t>
        </is>
      </c>
      <c r="L14" s="4" t="inlineStr">
        <is>
          <t>MEDIUM</t>
        </is>
      </c>
      <c r="M14" s="4" t="inlineStr">
        <is>
          <t>KIMA</t>
        </is>
      </c>
      <c r="N14" s="13" t="n">
        <v>46274</v>
      </c>
      <c r="O14" s="4" t="inlineStr">
        <is>
          <t>Redmi 13C (Android)</t>
        </is>
      </c>
      <c r="P14" s="4" t="inlineStr">
        <is>
          <t>UMPay Android app</t>
        </is>
      </c>
      <c r="Q14" s="4" t="n"/>
      <c r="R14" s="4" t="n"/>
      <c r="S14" s="14" t="inlineStr">
        <is>
          <t>Run</t>
        </is>
      </c>
    </row>
    <row r="15" ht="90" customHeight="1">
      <c r="A15" s="4" t="inlineStr">
        <is>
          <t>TC_007</t>
        </is>
      </c>
      <c r="B15" s="4" t="inlineStr">
        <is>
          <t>Transfer</t>
        </is>
      </c>
      <c r="C15" s="4" t="inlineStr">
        <is>
          <t>The wallet remark box counts the characters left</t>
        </is>
      </c>
      <c r="D15" s="4" t="inlineStr">
        <is>
          <t>Positive</t>
        </is>
      </c>
      <c r="E15" s="4" t="inlineStr">
        <is>
          <t>I log into the UMPay application with valid credentials</t>
        </is>
      </c>
      <c r="F15" s="4" t="inlineStr">
        <is>
          <t>-Given I log into the UMPay application with valid credentials using "1" of "Sheet1" of "Login_TestData.xlsx"
-When I open the transfer hub
-When I take the "UMPay to UMPay Wallet" route
-Then the wallet transfer form should be shown
-And the remark box should report "150 characters remaining"
-When I write "Rent" in the wallet remark box
-Then the remark box should report "146 characters remaining"</t>
        </is>
      </c>
      <c r="G15" s="4" t="inlineStr">
        <is>
          <t>Login_TestData.xlsx</t>
        </is>
      </c>
      <c r="H15" s="4" t="inlineStr">
        <is>
          <t>The wallet transfer form should be shown; the remark box should report "150 characters remaining"; the remark box should report "146 characters remaining"</t>
        </is>
      </c>
      <c r="I15" s="4" t="inlineStr">
        <is>
          <t>The app is left on the screen the scenario reached</t>
        </is>
      </c>
      <c r="J15" s="4" t="inlineStr">
        <is>
          <t>Ran on Redmi 13C (Android) and behaved as the scenario expects</t>
        </is>
      </c>
      <c r="K15" s="4" t="inlineStr">
        <is>
          <t>PASS</t>
        </is>
      </c>
      <c r="L15" s="4" t="inlineStr">
        <is>
          <t>MEDIUM</t>
        </is>
      </c>
      <c r="M15" s="4" t="inlineStr">
        <is>
          <t>KIMA</t>
        </is>
      </c>
      <c r="N15" s="13" t="n">
        <v>46274</v>
      </c>
      <c r="O15" s="4" t="inlineStr">
        <is>
          <t>Redmi 13C (Android)</t>
        </is>
      </c>
      <c r="P15" s="4" t="inlineStr">
        <is>
          <t>UMPay Android app</t>
        </is>
      </c>
      <c r="Q15" s="4" t="n"/>
      <c r="R15" s="4" t="n"/>
      <c r="S15" s="14" t="inlineStr">
        <is>
          <t>Run</t>
        </is>
      </c>
    </row>
  </sheetData>
  <dataValidations count="3">
    <dataValidation sqref="K9:K15" showDropDown="0" showInputMessage="0" showErrorMessage="0" allowBlank="1" type="list">
      <formula1>"PASS,FAIL,PENDING"</formula1>
    </dataValidation>
    <dataValidation sqref="L9:L15" showDropDown="0" showInputMessage="0" showErrorMessage="0" allowBlank="1" type="list">
      <formula1>"HIGH,MEDIUM,LOW"</formula1>
    </dataValidation>
    <dataValidation sqref="D9:D15" showDropDown="0" showInputMessage="0" showErrorMessage="0" allowBlank="1" type="list">
      <formula1>"Positive,Negative"</formula1>
    </dataValidation>
  </dataValidations>
  <hyperlinks>
    <hyperlink xmlns:r="http://schemas.openxmlformats.org/officeDocument/2006/relationships" ref="S9" r:id="rId1"/>
    <hyperlink xmlns:r="http://schemas.openxmlformats.org/officeDocument/2006/relationships" ref="S10" r:id="rId2"/>
    <hyperlink xmlns:r="http://schemas.openxmlformats.org/officeDocument/2006/relationships" ref="S11" r:id="rId3"/>
    <hyperlink xmlns:r="http://schemas.openxmlformats.org/officeDocument/2006/relationships" ref="S12" r:id="rId4"/>
    <hyperlink xmlns:r="http://schemas.openxmlformats.org/officeDocument/2006/relationships" ref="S13" r:id="rId5"/>
    <hyperlink xmlns:r="http://schemas.openxmlformats.org/officeDocument/2006/relationships" ref="S14" r:id="rId6"/>
    <hyperlink xmlns:r="http://schemas.openxmlformats.org/officeDocument/2006/relationships" ref="S15" r:id="rId7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.6" customWidth="1" min="1" max="1"/>
    <col width="15" customWidth="1" min="2" max="2"/>
    <col width="40" customWidth="1" min="3" max="3"/>
    <col width="12.6" customWidth="1" min="4" max="4"/>
    <col width="22" customWidth="1" min="5" max="5"/>
    <col width="34" customWidth="1" min="6" max="6"/>
    <col width="18" customWidth="1" min="7" max="7"/>
    <col width="34" customWidth="1" min="8" max="8"/>
    <col width="20" customWidth="1" min="9" max="9"/>
    <col width="34" customWidth="1" min="10" max="10"/>
    <col width="10" customWidth="1" min="11" max="11"/>
    <col width="10" customWidth="1" min="12" max="12"/>
    <col width="10" customWidth="1" min="13" max="13"/>
    <col width="12" customWidth="1" min="14" max="14"/>
    <col width="18" customWidth="1" min="15" max="15"/>
    <col width="18" customWidth="1" min="16" max="16"/>
    <col width="12" customWidth="1" min="17" max="17"/>
    <col width="14" customWidth="1" min="18" max="18"/>
    <col width="10" customWidth="1" min="19" max="19"/>
  </cols>
  <sheetData>
    <row r="1">
      <c r="A1" s="1" t="inlineStr">
        <is>
          <t>Project Name</t>
        </is>
      </c>
      <c r="B1" t="inlineStr">
        <is>
          <t>UMPay Mobile</t>
        </is>
      </c>
    </row>
    <row r="2">
      <c r="A2" s="1" t="inlineStr">
        <is>
          <t>Module/Feature Name</t>
        </is>
      </c>
      <c r="B2" t="inlineStr">
        <is>
          <t>Convert</t>
        </is>
      </c>
      <c r="P2" t="inlineStr">
        <is>
          <t>HIGH</t>
        </is>
      </c>
      <c r="Q2" t="inlineStr">
        <is>
          <t>MEDIUM</t>
        </is>
      </c>
      <c r="R2" t="inlineStr">
        <is>
          <t>LOW</t>
        </is>
      </c>
    </row>
    <row r="3">
      <c r="A3" s="1" t="inlineStr">
        <is>
          <t>Reference Document</t>
        </is>
      </c>
      <c r="B3" t="inlineStr">
        <is>
          <t>Convert.feature</t>
        </is>
      </c>
      <c r="N3" s="1" t="inlineStr">
        <is>
          <t>PASS</t>
        </is>
      </c>
      <c r="O3">
        <f>COUNTIF(K:K,"PASS")</f>
        <v/>
      </c>
      <c r="P3">
        <f>COUNTIFS(K:K,"PASS",L:L,"HIGH")</f>
        <v/>
      </c>
      <c r="Q3">
        <f>COUNTIFS(K:K,"PASS",L:L,"MEDIUM")</f>
        <v/>
      </c>
      <c r="R3">
        <f>COUNTIFS(K:K,"PASS",L:L,"LOW")</f>
        <v/>
      </c>
    </row>
    <row r="4">
      <c r="A4" s="1" t="inlineStr">
        <is>
          <t>Created By</t>
        </is>
      </c>
      <c r="B4" t="inlineStr">
        <is>
          <t>KIMA</t>
        </is>
      </c>
      <c r="N4" s="1" t="inlineStr">
        <is>
          <t>FAIL</t>
        </is>
      </c>
      <c r="O4">
        <f>COUNTIF(K:K,"FAIL")</f>
        <v/>
      </c>
      <c r="P4">
        <f>COUNTIFS(K:K,"FAIL",L:L,"HIGH")</f>
        <v/>
      </c>
      <c r="Q4">
        <f>COUNTIFS(K:K,"FAIL",L:L,"MEDIUM")</f>
        <v/>
      </c>
      <c r="R4">
        <f>COUNTIFS(K:K,"FAIL",L:L,"LOW")</f>
        <v/>
      </c>
    </row>
    <row r="5">
      <c r="A5" s="1" t="inlineStr">
        <is>
          <t>Date of Creation</t>
        </is>
      </c>
      <c r="B5" s="12" t="n">
        <v>46274</v>
      </c>
      <c r="N5" s="1" t="inlineStr">
        <is>
          <t>PENDING</t>
        </is>
      </c>
      <c r="O5">
        <f>COUNTIF(K:K,"PENDING")</f>
        <v/>
      </c>
      <c r="P5">
        <f>COUNTIFS(K:K,"PENDING",L:L,"HIGH")</f>
        <v/>
      </c>
      <c r="Q5">
        <f>COUNTIFS(K:K,"PENDING",L:L,"MEDIUM")</f>
        <v/>
      </c>
      <c r="R5">
        <f>COUNTIFS(K:K,"PENDING",L:L,"LOW")</f>
        <v/>
      </c>
    </row>
    <row r="6">
      <c r="A6" s="1" t="inlineStr">
        <is>
          <t>Date of Review</t>
        </is>
      </c>
      <c r="B6" s="12" t="n">
        <v>46274</v>
      </c>
    </row>
    <row r="8">
      <c r="A8" s="3" t="inlineStr">
        <is>
          <t>TEST CASE ID</t>
        </is>
      </c>
      <c r="B8" s="3" t="inlineStr">
        <is>
          <t>TEST SCENARIO</t>
        </is>
      </c>
      <c r="C8" s="3" t="inlineStr">
        <is>
          <t>TEST CASE</t>
        </is>
      </c>
      <c r="D8" s="3" t="inlineStr">
        <is>
          <t>TEST CATEGORY</t>
        </is>
      </c>
      <c r="E8" s="3" t="inlineStr">
        <is>
          <t>PRE-CONDITION</t>
        </is>
      </c>
      <c r="F8" s="3" t="inlineStr">
        <is>
          <t>TEST STEPS</t>
        </is>
      </c>
      <c r="G8" s="3" t="inlineStr">
        <is>
          <t>TEST DATA</t>
        </is>
      </c>
      <c r="H8" s="3" t="inlineStr">
        <is>
          <t>EXPECTED RESULTS</t>
        </is>
      </c>
      <c r="I8" s="3" t="inlineStr">
        <is>
          <t>POST CONDITION</t>
        </is>
      </c>
      <c r="J8" s="3" t="inlineStr">
        <is>
          <t>ACTUAL RESULT</t>
        </is>
      </c>
      <c r="K8" s="3" t="inlineStr">
        <is>
          <t>STATUS</t>
        </is>
      </c>
      <c r="L8" s="3" t="inlineStr">
        <is>
          <t>PRIORITY</t>
        </is>
      </c>
      <c r="M8" s="3" t="inlineStr">
        <is>
          <t>TESTER</t>
        </is>
      </c>
      <c r="N8" s="3" t="inlineStr">
        <is>
          <t>TEST DATE</t>
        </is>
      </c>
      <c r="O8" s="3" t="inlineStr">
        <is>
          <t>DEVICE</t>
        </is>
      </c>
      <c r="P8" s="3" t="inlineStr">
        <is>
          <t>PLATFORM</t>
        </is>
      </c>
      <c r="Q8" s="3" t="inlineStr">
        <is>
          <t>ISSUE LINK</t>
        </is>
      </c>
      <c r="R8" s="3" t="inlineStr">
        <is>
          <t>COMMENT</t>
        </is>
      </c>
      <c r="S8" s="3" t="inlineStr">
        <is>
          <t>Run</t>
        </is>
      </c>
    </row>
    <row r="9" ht="90" customHeight="1">
      <c r="A9" s="4" t="inlineStr">
        <is>
          <t>TC_001</t>
        </is>
      </c>
      <c r="B9" s="4" t="inlineStr">
        <is>
          <t>Convert</t>
        </is>
      </c>
      <c r="C9" s="4" t="inlineStr">
        <is>
          <t>A conversion prices the amount and offers to convert</t>
        </is>
      </c>
      <c r="D9" s="4" t="inlineStr">
        <is>
          <t>Positive</t>
        </is>
      </c>
      <c r="E9" s="4" t="inlineStr">
        <is>
          <t>I log into the UMPay application with valid credentials</t>
        </is>
      </c>
      <c r="F9" s="4" t="inlineStr">
        <is>
          <t>-Given I log into the UMPay application with valid credentials using "&lt;row&gt;" of "&lt;excelSheetName&gt;" of "&lt;excelFileName&gt;"
-When I open the "Convert" form from the dashboard
-Then the "Convert" form should be shown
-When I enter the conversion amount in "&lt;row&gt;" of "&lt;excelSheetName&gt;" of "&lt;excelFileName&gt;"
-Then the amount should be accepted
-And the transaction is deliberately not submitted</t>
        </is>
      </c>
      <c r="G9" s="4" t="inlineStr">
        <is>
          <t>Convert_TestData.xlsx</t>
        </is>
      </c>
      <c r="H9" s="4" t="inlineStr">
        <is>
          <t>The "Convert" form should be shown; the amount should be accepted; the transaction is deliberately not submitted</t>
        </is>
      </c>
      <c r="I9" s="4" t="inlineStr">
        <is>
          <t>The app is left on the screen the scenario reached</t>
        </is>
      </c>
      <c r="J9" s="4" t="inlineStr">
        <is>
          <t>BLOCKED, not failed - the device lost its network mid-run and the app answered "Network Error - Please check your internet connection", so signing in never completed and the scenario could not begin. Nothing here is a verdict on the application</t>
        </is>
      </c>
      <c r="K9" s="4" t="inlineStr">
        <is>
          <t>PENDING</t>
        </is>
      </c>
      <c r="L9" s="4" t="inlineStr">
        <is>
          <t>MEDIUM</t>
        </is>
      </c>
      <c r="M9" s="4" t="inlineStr">
        <is>
          <t>KIMA</t>
        </is>
      </c>
      <c r="N9" s="13" t="n">
        <v>46274</v>
      </c>
      <c r="O9" s="4" t="inlineStr">
        <is>
          <t>Redmi 13C (Android)</t>
        </is>
      </c>
      <c r="P9" s="4" t="inlineStr">
        <is>
          <t>UMPay Android app</t>
        </is>
      </c>
      <c r="Q9" s="4" t="n"/>
      <c r="R9" s="4" t="n"/>
      <c r="S9" s="14" t="inlineStr">
        <is>
          <t>Run</t>
        </is>
      </c>
    </row>
  </sheetData>
  <dataValidations count="3">
    <dataValidation sqref="K9" showDropDown="0" showInputMessage="0" showErrorMessage="0" allowBlank="1" type="list">
      <formula1>"PASS,FAIL,PENDING"</formula1>
    </dataValidation>
    <dataValidation sqref="L9" showDropDown="0" showInputMessage="0" showErrorMessage="0" allowBlank="1" type="list">
      <formula1>"HIGH,MEDIUM,LOW"</formula1>
    </dataValidation>
    <dataValidation sqref="D9" showDropDown="0" showInputMessage="0" showErrorMessage="0" allowBlank="1" type="list">
      <formula1>"Positive,Negative"</formula1>
    </dataValidation>
  </dataValidations>
  <hyperlinks>
    <hyperlink xmlns:r="http://schemas.openxmlformats.org/officeDocument/2006/relationships" ref="S9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.6" customWidth="1" min="1" max="1"/>
    <col width="15" customWidth="1" min="2" max="2"/>
    <col width="40" customWidth="1" min="3" max="3"/>
    <col width="12.6" customWidth="1" min="4" max="4"/>
    <col width="22" customWidth="1" min="5" max="5"/>
    <col width="34" customWidth="1" min="6" max="6"/>
    <col width="18" customWidth="1" min="7" max="7"/>
    <col width="34" customWidth="1" min="8" max="8"/>
    <col width="20" customWidth="1" min="9" max="9"/>
    <col width="34" customWidth="1" min="10" max="10"/>
    <col width="10" customWidth="1" min="11" max="11"/>
    <col width="10" customWidth="1" min="12" max="12"/>
    <col width="10" customWidth="1" min="13" max="13"/>
    <col width="12" customWidth="1" min="14" max="14"/>
    <col width="18" customWidth="1" min="15" max="15"/>
    <col width="18" customWidth="1" min="16" max="16"/>
    <col width="12" customWidth="1" min="17" max="17"/>
    <col width="14" customWidth="1" min="18" max="18"/>
    <col width="10" customWidth="1" min="19" max="19"/>
  </cols>
  <sheetData>
    <row r="1">
      <c r="A1" s="1" t="inlineStr">
        <is>
          <t>Project Name</t>
        </is>
      </c>
      <c r="B1" t="inlineStr">
        <is>
          <t>UMPay Mobile</t>
        </is>
      </c>
    </row>
    <row r="2">
      <c r="A2" s="1" t="inlineStr">
        <is>
          <t>Module/Feature Name</t>
        </is>
      </c>
      <c r="B2" t="inlineStr">
        <is>
          <t>Global Transfer</t>
        </is>
      </c>
      <c r="P2" t="inlineStr">
        <is>
          <t>HIGH</t>
        </is>
      </c>
      <c r="Q2" t="inlineStr">
        <is>
          <t>MEDIUM</t>
        </is>
      </c>
      <c r="R2" t="inlineStr">
        <is>
          <t>LOW</t>
        </is>
      </c>
    </row>
    <row r="3">
      <c r="A3" s="1" t="inlineStr">
        <is>
          <t>Reference Document</t>
        </is>
      </c>
      <c r="B3" t="inlineStr">
        <is>
          <t>GlobalTransfer.feature</t>
        </is>
      </c>
      <c r="N3" s="1" t="inlineStr">
        <is>
          <t>PASS</t>
        </is>
      </c>
      <c r="O3">
        <f>COUNTIF(K:K,"PASS")</f>
        <v/>
      </c>
      <c r="P3">
        <f>COUNTIFS(K:K,"PASS",L:L,"HIGH")</f>
        <v/>
      </c>
      <c r="Q3">
        <f>COUNTIFS(K:K,"PASS",L:L,"MEDIUM")</f>
        <v/>
      </c>
      <c r="R3">
        <f>COUNTIFS(K:K,"PASS",L:L,"LOW")</f>
        <v/>
      </c>
    </row>
    <row r="4">
      <c r="A4" s="1" t="inlineStr">
        <is>
          <t>Created By</t>
        </is>
      </c>
      <c r="B4" t="inlineStr">
        <is>
          <t>KIMA</t>
        </is>
      </c>
      <c r="N4" s="1" t="inlineStr">
        <is>
          <t>FAIL</t>
        </is>
      </c>
      <c r="O4">
        <f>COUNTIF(K:K,"FAIL")</f>
        <v/>
      </c>
      <c r="P4">
        <f>COUNTIFS(K:K,"FAIL",L:L,"HIGH")</f>
        <v/>
      </c>
      <c r="Q4">
        <f>COUNTIFS(K:K,"FAIL",L:L,"MEDIUM")</f>
        <v/>
      </c>
      <c r="R4">
        <f>COUNTIFS(K:K,"FAIL",L:L,"LOW")</f>
        <v/>
      </c>
    </row>
    <row r="5">
      <c r="A5" s="1" t="inlineStr">
        <is>
          <t>Date of Creation</t>
        </is>
      </c>
      <c r="B5" s="12" t="n">
        <v>46274</v>
      </c>
      <c r="N5" s="1" t="inlineStr">
        <is>
          <t>PENDING</t>
        </is>
      </c>
      <c r="O5">
        <f>COUNTIF(K:K,"PENDING")</f>
        <v/>
      </c>
      <c r="P5">
        <f>COUNTIFS(K:K,"PENDING",L:L,"HIGH")</f>
        <v/>
      </c>
      <c r="Q5">
        <f>COUNTIFS(K:K,"PENDING",L:L,"MEDIUM")</f>
        <v/>
      </c>
      <c r="R5">
        <f>COUNTIFS(K:K,"PENDING",L:L,"LOW")</f>
        <v/>
      </c>
    </row>
    <row r="6">
      <c r="A6" s="1" t="inlineStr">
        <is>
          <t>Date of Review</t>
        </is>
      </c>
      <c r="B6" s="12" t="n">
        <v>46274</v>
      </c>
    </row>
    <row r="8">
      <c r="A8" s="3" t="inlineStr">
        <is>
          <t>TEST CASE ID</t>
        </is>
      </c>
      <c r="B8" s="3" t="inlineStr">
        <is>
          <t>TEST SCENARIO</t>
        </is>
      </c>
      <c r="C8" s="3" t="inlineStr">
        <is>
          <t>TEST CASE</t>
        </is>
      </c>
      <c r="D8" s="3" t="inlineStr">
        <is>
          <t>TEST CATEGORY</t>
        </is>
      </c>
      <c r="E8" s="3" t="inlineStr">
        <is>
          <t>PRE-CONDITION</t>
        </is>
      </c>
      <c r="F8" s="3" t="inlineStr">
        <is>
          <t>TEST STEPS</t>
        </is>
      </c>
      <c r="G8" s="3" t="inlineStr">
        <is>
          <t>TEST DATA</t>
        </is>
      </c>
      <c r="H8" s="3" t="inlineStr">
        <is>
          <t>EXPECTED RESULTS</t>
        </is>
      </c>
      <c r="I8" s="3" t="inlineStr">
        <is>
          <t>POST CONDITION</t>
        </is>
      </c>
      <c r="J8" s="3" t="inlineStr">
        <is>
          <t>ACTUAL RESULT</t>
        </is>
      </c>
      <c r="K8" s="3" t="inlineStr">
        <is>
          <t>STATUS</t>
        </is>
      </c>
      <c r="L8" s="3" t="inlineStr">
        <is>
          <t>PRIORITY</t>
        </is>
      </c>
      <c r="M8" s="3" t="inlineStr">
        <is>
          <t>TESTER</t>
        </is>
      </c>
      <c r="N8" s="3" t="inlineStr">
        <is>
          <t>TEST DATE</t>
        </is>
      </c>
      <c r="O8" s="3" t="inlineStr">
        <is>
          <t>DEVICE</t>
        </is>
      </c>
      <c r="P8" s="3" t="inlineStr">
        <is>
          <t>PLATFORM</t>
        </is>
      </c>
      <c r="Q8" s="3" t="inlineStr">
        <is>
          <t>ISSUE LINK</t>
        </is>
      </c>
      <c r="R8" s="3" t="inlineStr">
        <is>
          <t>COMMENT</t>
        </is>
      </c>
      <c r="S8" s="3" t="inlineStr">
        <is>
          <t>Run</t>
        </is>
      </c>
    </row>
    <row r="9" ht="90" customHeight="1">
      <c r="A9" s="4" t="inlineStr">
        <is>
          <t>TC_001</t>
        </is>
      </c>
      <c r="B9" s="4" t="inlineStr">
        <is>
          <t>Global Transfer</t>
        </is>
      </c>
      <c r="C9" s="4" t="inlineStr">
        <is>
          <t>UnionPay China states its limits before anything is entered</t>
        </is>
      </c>
      <c r="D9" s="4" t="inlineStr">
        <is>
          <t>Positive</t>
        </is>
      </c>
      <c r="E9" s="4" t="inlineStr">
        <is>
          <t>I log into the UMPay application with valid credentials</t>
        </is>
      </c>
      <c r="F9" s="4" t="inlineStr">
        <is>
          <t>-Given I log into the UMPay application with valid credentials using "1" of "Sheet1" of "Login_TestData.xlsx"
-When I open the transfer hub
-And I take the "UnionPay China" route
-Then the UnionPay transfer form should be shown
-And the UnionPay form should state "Pay Currency"
-And the UnionPay form should state "Receive Currency"
-And the UnionPay form should state "Card Available Balance"
-And the UnionPay form should state "Limit Min 10.00 USD"
-And the UnionPay form should state "Limit Max 10,000.00 USD"
-And the UnionPay transfer should not be sendable yet
-And the transfer should not be priced</t>
        </is>
      </c>
      <c r="G9" s="4" t="inlineStr">
        <is>
          <t>Login_TestData.xlsx</t>
        </is>
      </c>
      <c r="H9" s="4" t="inlineStr">
        <is>
          <t>The UnionPay transfer form should be shown; the UnionPay form should state "Pay Currency"; the UnionPay form should state "Receive Currency"; the UnionPay form should state "Card Available Balance"; the UnionPay form should state "Limit Min 10.00 USD"; the UnionPay form should state "Limit Max 10,000.00 USD"; the UnionPay transfer should not be sendable yet; the transfer should not be priced</t>
        </is>
      </c>
      <c r="I9" s="4" t="inlineStr">
        <is>
          <t>The app is left on the screen the scenario reached</t>
        </is>
      </c>
      <c r="J9" s="4" t="inlineStr">
        <is>
          <t>BLOCKED, not failed - the driver answered with an unknown server-side error, so the scenario never reached the point of asking the application anything: org.openqa.selenium.WebDriverException: An unknown server-side error occurred while processing the command. Original error: Could not proxy command to</t>
        </is>
      </c>
      <c r="K9" s="4" t="inlineStr">
        <is>
          <t>PENDING</t>
        </is>
      </c>
      <c r="L9" s="4" t="inlineStr">
        <is>
          <t>MEDIUM</t>
        </is>
      </c>
      <c r="M9" s="4" t="inlineStr">
        <is>
          <t>KIMA</t>
        </is>
      </c>
      <c r="N9" s="13" t="n">
        <v>46274</v>
      </c>
      <c r="O9" s="4" t="inlineStr">
        <is>
          <t>Redmi 13C (Android)</t>
        </is>
      </c>
      <c r="P9" s="4" t="inlineStr">
        <is>
          <t>UMPay Android app</t>
        </is>
      </c>
      <c r="Q9" s="4" t="n"/>
      <c r="R9" s="4" t="n"/>
      <c r="S9" s="14" t="inlineStr">
        <is>
          <t>Run</t>
        </is>
      </c>
    </row>
    <row r="10" ht="90" customHeight="1">
      <c r="A10" s="4" t="inlineStr">
        <is>
          <t>TC_002</t>
        </is>
      </c>
      <c r="B10" s="4" t="inlineStr">
        <is>
          <t>Global Transfer</t>
        </is>
      </c>
      <c r="C10" s="4" t="inlineStr">
        <is>
          <t>UnionPay China prices the transfer once a valid amount is entered</t>
        </is>
      </c>
      <c r="D10" s="4" t="inlineStr">
        <is>
          <t>Positive</t>
        </is>
      </c>
      <c r="E10" s="4" t="inlineStr">
        <is>
          <t>I log into the UMPay application with valid credentials</t>
        </is>
      </c>
      <c r="F10" s="4" t="inlineStr">
        <is>
          <t>-Given I log into the UMPay application with valid credentials using "&lt;row&gt;" of "&lt;excelSheetName&gt;" of "&lt;excelFileName&gt;"
-When I open the transfer hub
-And I take the "UnionPay China" route
-Then the UnionPay transfer form should be shown
-When I enter the UnionPay amount in "&lt;row&gt;" of "&lt;excelSheetName&gt;" of "&lt;excelFileName&gt;"
-Then the transfer should be priced
-And the priced transfer should show "Original Amount"
-And the priced transfer should show "Estimate Rate"
-And the priced transfer should show "Fee"
-And the priced transfer should show "Total Amount"
-And the priced transfer should show "Approximate Received"
-And the UnionPay transfer should become sendable
-And the transfer is deliberately not sent</t>
        </is>
      </c>
      <c r="G10" s="4" t="inlineStr">
        <is>
          <t>GlobalTransfer_TestData.xlsx</t>
        </is>
      </c>
      <c r="H10" s="4" t="inlineStr">
        <is>
          <t>The UnionPay transfer form should be shown; the transfer should be priced; the priced transfer should show "Original Amount"; the priced transfer should show "Estimate Rate"; the priced transfer should show "Fee"; the priced transfer should show "Total Amount"; the priced transfer should show "Approximate Received"; the UnionPay transfer should become sendable</t>
        </is>
      </c>
      <c r="I10" s="4" t="inlineStr">
        <is>
          <t>The app is left on the screen the scenario reached</t>
        </is>
      </c>
      <c r="J10" s="4" t="inlineStr">
        <is>
          <t>java.lang.AssertionError: The Transfer action never became enabled on a priced form expected [true] but found [false]</t>
        </is>
      </c>
      <c r="K10" s="4" t="inlineStr">
        <is>
          <t>FAIL</t>
        </is>
      </c>
      <c r="L10" s="4" t="inlineStr">
        <is>
          <t>MEDIUM</t>
        </is>
      </c>
      <c r="M10" s="4" t="inlineStr">
        <is>
          <t>KIMA</t>
        </is>
      </c>
      <c r="N10" s="13" t="n">
        <v>46274</v>
      </c>
      <c r="O10" s="4" t="inlineStr">
        <is>
          <t>Redmi 13C (Android)</t>
        </is>
      </c>
      <c r="P10" s="4" t="inlineStr">
        <is>
          <t>UMPay Android app</t>
        </is>
      </c>
      <c r="Q10" s="4" t="n"/>
      <c r="R10" s="4" t="n"/>
      <c r="S10" s="14" t="inlineStr">
        <is>
          <t>Run</t>
        </is>
      </c>
    </row>
    <row r="11" ht="90" customHeight="1">
      <c r="A11" s="4" t="inlineStr">
        <is>
          <t>TC_003</t>
        </is>
      </c>
      <c r="B11" s="4" t="inlineStr">
        <is>
          <t>Global Transfer</t>
        </is>
      </c>
      <c r="C11" s="4" t="inlineStr">
        <is>
          <t>UnionPay China refuses an amount below its minimum</t>
        </is>
      </c>
      <c r="D11" s="4" t="inlineStr">
        <is>
          <t>Negative</t>
        </is>
      </c>
      <c r="E11" s="4" t="inlineStr">
        <is>
          <t>I log into the UMPay application with valid credentials</t>
        </is>
      </c>
      <c r="F11" s="4" t="inlineStr">
        <is>
          <t>-Given I log into the UMPay application with valid credentials using "&lt;row&gt;" of "&lt;excelSheetName&gt;" of "&lt;excelFileName&gt;"
-When I open the transfer hub
-And I take the "UnionPay China" route
-Then the UnionPay transfer form should be shown
-When I enter the UnionPay amount in "&lt;row&gt;" of "&lt;excelSheetName&gt;" of "&lt;excelFileName&gt;"
-Then the transfer should not be priced
-And the UnionPay transfer should not be sendable yet</t>
        </is>
      </c>
      <c r="G11" s="4" t="inlineStr">
        <is>
          <t>GlobalTransfer_TestData.xlsx</t>
        </is>
      </c>
      <c r="H11" s="4" t="inlineStr">
        <is>
          <t>The UnionPay transfer form should be shown; the transfer should not be priced; the UnionPay transfer should not be sendable yet</t>
        </is>
      </c>
      <c r="I11" s="4" t="inlineStr">
        <is>
          <t>The app is left on the screen the scenario reached</t>
        </is>
      </c>
      <c r="J11" s="4" t="inlineStr">
        <is>
          <t>Ran on Redmi 13C (Android) and behaved as the scenario expects</t>
        </is>
      </c>
      <c r="K11" s="4" t="inlineStr">
        <is>
          <t>PASS</t>
        </is>
      </c>
      <c r="L11" s="4" t="inlineStr">
        <is>
          <t>HIGH</t>
        </is>
      </c>
      <c r="M11" s="4" t="inlineStr">
        <is>
          <t>KIMA</t>
        </is>
      </c>
      <c r="N11" s="13" t="n">
        <v>46274</v>
      </c>
      <c r="O11" s="4" t="inlineStr">
        <is>
          <t>Redmi 13C (Android)</t>
        </is>
      </c>
      <c r="P11" s="4" t="inlineStr">
        <is>
          <t>UMPay Android app</t>
        </is>
      </c>
      <c r="Q11" s="4" t="n"/>
      <c r="R11" s="4" t="n"/>
      <c r="S11" s="14" t="inlineStr">
        <is>
          <t>Run</t>
        </is>
      </c>
    </row>
    <row r="12" ht="90" customHeight="1">
      <c r="A12" s="4" t="inlineStr">
        <is>
          <t>TC_004</t>
        </is>
      </c>
      <c r="B12" s="4" t="inlineStr">
        <is>
          <t>Global Transfer</t>
        </is>
      </c>
      <c r="C12" s="4" t="inlineStr">
        <is>
          <t>UnionPay Global offers the same form without a receive currency</t>
        </is>
      </c>
      <c r="D12" s="4" t="inlineStr">
        <is>
          <t>Negative</t>
        </is>
      </c>
      <c r="E12" s="4" t="inlineStr">
        <is>
          <t>I log into the UMPay application with valid credentials</t>
        </is>
      </c>
      <c r="F12" s="4" t="inlineStr">
        <is>
          <t>-Given I log into the UMPay application with valid credentials using "1" of "Sheet1" of "Login_TestData.xlsx"
-When I open the transfer hub
-And I take the "UnionPay Global" route
-Then the UnionPay transfer form should be shown
-And the UnionPay form should state "Pay Currency"
-And the UnionPay form should state "Limit Min 10.00 USD"
-And the UnionPay form should state "Limit Max 10,000.00 USD"
-And the UnionPay form should state "Remark"
-And the UnionPay form should not offer "Receive Currency"
-And the UnionPay transfer should not be sendable yet</t>
        </is>
      </c>
      <c r="G12" s="4" t="inlineStr">
        <is>
          <t>Login_TestData.xlsx</t>
        </is>
      </c>
      <c r="H12" s="4" t="inlineStr">
        <is>
          <t>The UnionPay transfer form should be shown; the UnionPay form should state "Pay Currency"; the UnionPay form should state "Limit Min 10.00 USD"; the UnionPay form should state "Limit Max 10,000.00 USD"; the UnionPay form should state "Remark"; the UnionPay form should not offer "Receive Currency"; the UnionPay transfer should not be sendable yet</t>
        </is>
      </c>
      <c r="I12" s="4" t="inlineStr">
        <is>
          <t>The app is left on the screen the scenario reached</t>
        </is>
      </c>
      <c r="J12" s="4" t="inlineStr">
        <is>
          <t>Ran on Redmi 13C (Android) and behaved as the scenario expects</t>
        </is>
      </c>
      <c r="K12" s="4" t="inlineStr">
        <is>
          <t>PASS</t>
        </is>
      </c>
      <c r="L12" s="4" t="inlineStr">
        <is>
          <t>HIGH</t>
        </is>
      </c>
      <c r="M12" s="4" t="inlineStr">
        <is>
          <t>KIMA</t>
        </is>
      </c>
      <c r="N12" s="13" t="n">
        <v>46274</v>
      </c>
      <c r="O12" s="4" t="inlineStr">
        <is>
          <t>Redmi 13C (Android)</t>
        </is>
      </c>
      <c r="P12" s="4" t="inlineStr">
        <is>
          <t>UMPay Android app</t>
        </is>
      </c>
      <c r="Q12" s="4" t="n"/>
      <c r="R12" s="4" t="n"/>
      <c r="S12" s="14" t="inlineStr">
        <is>
          <t>Run</t>
        </is>
      </c>
    </row>
  </sheetData>
  <dataValidations count="3">
    <dataValidation sqref="K9:K12" showDropDown="0" showInputMessage="0" showErrorMessage="0" allowBlank="1" type="list">
      <formula1>"PASS,FAIL,PENDING"</formula1>
    </dataValidation>
    <dataValidation sqref="L9:L12" showDropDown="0" showInputMessage="0" showErrorMessage="0" allowBlank="1" type="list">
      <formula1>"HIGH,MEDIUM,LOW"</formula1>
    </dataValidation>
    <dataValidation sqref="D9:D12" showDropDown="0" showInputMessage="0" showErrorMessage="0" allowBlank="1" type="list">
      <formula1>"Positive,Negative"</formula1>
    </dataValidation>
  </dataValidations>
  <hyperlinks>
    <hyperlink xmlns:r="http://schemas.openxmlformats.org/officeDocument/2006/relationships" ref="S9" r:id="rId1"/>
    <hyperlink xmlns:r="http://schemas.openxmlformats.org/officeDocument/2006/relationships" ref="S10" r:id="rId2"/>
    <hyperlink xmlns:r="http://schemas.openxmlformats.org/officeDocument/2006/relationships" ref="S11" r:id="rId3"/>
    <hyperlink xmlns:r="http://schemas.openxmlformats.org/officeDocument/2006/relationships" ref="S12" r:id="rId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.6" customWidth="1" min="1" max="1"/>
    <col width="15" customWidth="1" min="2" max="2"/>
    <col width="40" customWidth="1" min="3" max="3"/>
    <col width="12.6" customWidth="1" min="4" max="4"/>
    <col width="22" customWidth="1" min="5" max="5"/>
    <col width="34" customWidth="1" min="6" max="6"/>
    <col width="18" customWidth="1" min="7" max="7"/>
    <col width="34" customWidth="1" min="8" max="8"/>
    <col width="20" customWidth="1" min="9" max="9"/>
    <col width="34" customWidth="1" min="10" max="10"/>
    <col width="10" customWidth="1" min="11" max="11"/>
    <col width="10" customWidth="1" min="12" max="12"/>
    <col width="10" customWidth="1" min="13" max="13"/>
    <col width="12" customWidth="1" min="14" max="14"/>
    <col width="18" customWidth="1" min="15" max="15"/>
    <col width="18" customWidth="1" min="16" max="16"/>
    <col width="12" customWidth="1" min="17" max="17"/>
    <col width="14" customWidth="1" min="18" max="18"/>
    <col width="10" customWidth="1" min="19" max="19"/>
  </cols>
  <sheetData>
    <row r="1">
      <c r="A1" s="1" t="inlineStr">
        <is>
          <t>Project Name</t>
        </is>
      </c>
      <c r="B1" t="inlineStr">
        <is>
          <t>UMPay Mobile</t>
        </is>
      </c>
    </row>
    <row r="2">
      <c r="A2" s="1" t="inlineStr">
        <is>
          <t>Module/Feature Name</t>
        </is>
      </c>
      <c r="B2" t="inlineStr">
        <is>
          <t>Profile</t>
        </is>
      </c>
      <c r="P2" t="inlineStr">
        <is>
          <t>HIGH</t>
        </is>
      </c>
      <c r="Q2" t="inlineStr">
        <is>
          <t>MEDIUM</t>
        </is>
      </c>
      <c r="R2" t="inlineStr">
        <is>
          <t>LOW</t>
        </is>
      </c>
    </row>
    <row r="3">
      <c r="A3" s="1" t="inlineStr">
        <is>
          <t>Reference Document</t>
        </is>
      </c>
      <c r="B3" t="inlineStr">
        <is>
          <t>Profile.feature</t>
        </is>
      </c>
      <c r="N3" s="1" t="inlineStr">
        <is>
          <t>PASS</t>
        </is>
      </c>
      <c r="O3">
        <f>COUNTIF(K:K,"PASS")</f>
        <v/>
      </c>
      <c r="P3">
        <f>COUNTIFS(K:K,"PASS",L:L,"HIGH")</f>
        <v/>
      </c>
      <c r="Q3">
        <f>COUNTIFS(K:K,"PASS",L:L,"MEDIUM")</f>
        <v/>
      </c>
      <c r="R3">
        <f>COUNTIFS(K:K,"PASS",L:L,"LOW")</f>
        <v/>
      </c>
    </row>
    <row r="4">
      <c r="A4" s="1" t="inlineStr">
        <is>
          <t>Created By</t>
        </is>
      </c>
      <c r="B4" t="inlineStr">
        <is>
          <t>KIMA</t>
        </is>
      </c>
      <c r="N4" s="1" t="inlineStr">
        <is>
          <t>FAIL</t>
        </is>
      </c>
      <c r="O4">
        <f>COUNTIF(K:K,"FAIL")</f>
        <v/>
      </c>
      <c r="P4">
        <f>COUNTIFS(K:K,"FAIL",L:L,"HIGH")</f>
        <v/>
      </c>
      <c r="Q4">
        <f>COUNTIFS(K:K,"FAIL",L:L,"MEDIUM")</f>
        <v/>
      </c>
      <c r="R4">
        <f>COUNTIFS(K:K,"FAIL",L:L,"LOW")</f>
        <v/>
      </c>
    </row>
    <row r="5">
      <c r="A5" s="1" t="inlineStr">
        <is>
          <t>Date of Creation</t>
        </is>
      </c>
      <c r="B5" s="12" t="n">
        <v>46274</v>
      </c>
      <c r="N5" s="1" t="inlineStr">
        <is>
          <t>PENDING</t>
        </is>
      </c>
      <c r="O5">
        <f>COUNTIF(K:K,"PENDING")</f>
        <v/>
      </c>
      <c r="P5">
        <f>COUNTIFS(K:K,"PENDING",L:L,"HIGH")</f>
        <v/>
      </c>
      <c r="Q5">
        <f>COUNTIFS(K:K,"PENDING",L:L,"MEDIUM")</f>
        <v/>
      </c>
      <c r="R5">
        <f>COUNTIFS(K:K,"PENDING",L:L,"LOW")</f>
        <v/>
      </c>
    </row>
    <row r="6">
      <c r="A6" s="1" t="inlineStr">
        <is>
          <t>Date of Review</t>
        </is>
      </c>
      <c r="B6" s="12" t="n">
        <v>46274</v>
      </c>
    </row>
    <row r="8">
      <c r="A8" s="3" t="inlineStr">
        <is>
          <t>TEST CASE ID</t>
        </is>
      </c>
      <c r="B8" s="3" t="inlineStr">
        <is>
          <t>TEST SCENARIO</t>
        </is>
      </c>
      <c r="C8" s="3" t="inlineStr">
        <is>
          <t>TEST CASE</t>
        </is>
      </c>
      <c r="D8" s="3" t="inlineStr">
        <is>
          <t>TEST CATEGORY</t>
        </is>
      </c>
      <c r="E8" s="3" t="inlineStr">
        <is>
          <t>PRE-CONDITION</t>
        </is>
      </c>
      <c r="F8" s="3" t="inlineStr">
        <is>
          <t>TEST STEPS</t>
        </is>
      </c>
      <c r="G8" s="3" t="inlineStr">
        <is>
          <t>TEST DATA</t>
        </is>
      </c>
      <c r="H8" s="3" t="inlineStr">
        <is>
          <t>EXPECTED RESULTS</t>
        </is>
      </c>
      <c r="I8" s="3" t="inlineStr">
        <is>
          <t>POST CONDITION</t>
        </is>
      </c>
      <c r="J8" s="3" t="inlineStr">
        <is>
          <t>ACTUAL RESULT</t>
        </is>
      </c>
      <c r="K8" s="3" t="inlineStr">
        <is>
          <t>STATUS</t>
        </is>
      </c>
      <c r="L8" s="3" t="inlineStr">
        <is>
          <t>PRIORITY</t>
        </is>
      </c>
      <c r="M8" s="3" t="inlineStr">
        <is>
          <t>TESTER</t>
        </is>
      </c>
      <c r="N8" s="3" t="inlineStr">
        <is>
          <t>TEST DATE</t>
        </is>
      </c>
      <c r="O8" s="3" t="inlineStr">
        <is>
          <t>DEVICE</t>
        </is>
      </c>
      <c r="P8" s="3" t="inlineStr">
        <is>
          <t>PLATFORM</t>
        </is>
      </c>
      <c r="Q8" s="3" t="inlineStr">
        <is>
          <t>ISSUE LINK</t>
        </is>
      </c>
      <c r="R8" s="3" t="inlineStr">
        <is>
          <t>COMMENT</t>
        </is>
      </c>
      <c r="S8" s="3" t="inlineStr">
        <is>
          <t>Run</t>
        </is>
      </c>
    </row>
    <row r="9" ht="90" customHeight="1">
      <c r="A9" s="4" t="inlineStr">
        <is>
          <t>TC_001</t>
        </is>
      </c>
      <c r="B9" s="4" t="inlineStr">
        <is>
          <t>Profile</t>
        </is>
      </c>
      <c r="C9" s="4" t="inlineStr">
        <is>
          <t>The profile panel offers everything the account holder can reach</t>
        </is>
      </c>
      <c r="D9" s="4" t="inlineStr">
        <is>
          <t>Positive</t>
        </is>
      </c>
      <c r="E9" s="4" t="inlineStr">
        <is>
          <t>I log into the UMPay application with valid credentials</t>
        </is>
      </c>
      <c r="F9" s="4" t="inlineStr">
        <is>
          <t>-Given I log into the UMPay application with valid credentials using "1" of "Sheet1" of "Login_TestData.xlsx"
-When I open the profile panel
-Then the profile panel should offer "Trade Record, User List, Commission Listing, Fee Listing, Wallets, Payment, Templates, Transfer Fee Setting, Security, Document verification, Language"</t>
        </is>
      </c>
      <c r="G9" s="4" t="inlineStr">
        <is>
          <t>Login_TestData.xlsx</t>
        </is>
      </c>
      <c r="H9" s="4" t="inlineStr">
        <is>
          <t>The profile panel should offer "Trade Record, User List, Commission Listing, Fee Listing, Wallets, Payment, Templates, Transfer Fee Setting, Security, Document verification, Language"</t>
        </is>
      </c>
      <c r="I9" s="4" t="inlineStr">
        <is>
          <t>The app is left on the screen the scenario reached</t>
        </is>
      </c>
      <c r="J9" s="4" t="inlineStr">
        <is>
          <t>Ran on Redmi 13C (Android) and behaved as the scenario expects</t>
        </is>
      </c>
      <c r="K9" s="4" t="inlineStr">
        <is>
          <t>PASS</t>
        </is>
      </c>
      <c r="L9" s="4" t="inlineStr">
        <is>
          <t>MEDIUM</t>
        </is>
      </c>
      <c r="M9" s="4" t="inlineStr">
        <is>
          <t>KIMA</t>
        </is>
      </c>
      <c r="N9" s="13" t="n">
        <v>46274</v>
      </c>
      <c r="O9" s="4" t="inlineStr">
        <is>
          <t>Redmi 13C (Android)</t>
        </is>
      </c>
      <c r="P9" s="4" t="inlineStr">
        <is>
          <t>UMPay Android app</t>
        </is>
      </c>
      <c r="Q9" s="4" t="n"/>
      <c r="R9" s="4" t="n"/>
      <c r="S9" s="14" t="inlineStr">
        <is>
          <t>Run</t>
        </is>
      </c>
    </row>
    <row r="10" ht="90" customHeight="1">
      <c r="A10" s="4" t="inlineStr">
        <is>
          <t>TC_002</t>
        </is>
      </c>
      <c r="B10" s="4" t="inlineStr">
        <is>
          <t>Profile</t>
        </is>
      </c>
      <c r="C10" s="4" t="inlineStr">
        <is>
          <t>The profile panel shows the account's referral code</t>
        </is>
      </c>
      <c r="D10" s="4" t="inlineStr">
        <is>
          <t>Positive</t>
        </is>
      </c>
      <c r="E10" s="4" t="inlineStr">
        <is>
          <t>I log into the UMPay application with valid credentials</t>
        </is>
      </c>
      <c r="F10" s="4" t="inlineStr">
        <is>
          <t>-Given I log into the UMPay application with valid credentials using "1" of "Sheet1" of "Login_TestData.xlsx"
-When I open the profile panel
-Then the profile panel should show a referral code</t>
        </is>
      </c>
      <c r="G10" s="4" t="inlineStr">
        <is>
          <t>Login_TestData.xlsx</t>
        </is>
      </c>
      <c r="H10" s="4" t="inlineStr">
        <is>
          <t>The profile panel should show a referral code</t>
        </is>
      </c>
      <c r="I10" s="4" t="inlineStr">
        <is>
          <t>The app is left on the screen the scenario reached</t>
        </is>
      </c>
      <c r="J10" s="4" t="inlineStr">
        <is>
          <t>Ran on Redmi 13C (Android) and behaved as the scenario expects</t>
        </is>
      </c>
      <c r="K10" s="4" t="inlineStr">
        <is>
          <t>PASS</t>
        </is>
      </c>
      <c r="L10" s="4" t="inlineStr">
        <is>
          <t>MEDIUM</t>
        </is>
      </c>
      <c r="M10" s="4" t="inlineStr">
        <is>
          <t>KIMA</t>
        </is>
      </c>
      <c r="N10" s="13" t="n">
        <v>46274</v>
      </c>
      <c r="O10" s="4" t="inlineStr">
        <is>
          <t>Redmi 13C (Android)</t>
        </is>
      </c>
      <c r="P10" s="4" t="inlineStr">
        <is>
          <t>UMPay Android app</t>
        </is>
      </c>
      <c r="Q10" s="4" t="n"/>
      <c r="R10" s="4" t="n"/>
      <c r="S10" s="14" t="inlineStr">
        <is>
          <t>Run</t>
        </is>
      </c>
    </row>
    <row r="11" ht="90" customHeight="1">
      <c r="A11" s="4" t="inlineStr">
        <is>
          <t>TC_003</t>
        </is>
      </c>
      <c r="B11" s="4" t="inlineStr">
        <is>
          <t>Profile</t>
        </is>
      </c>
      <c r="C11" s="4" t="inlineStr">
        <is>
          <t>Each destination in the profile panel opens its own screen</t>
        </is>
      </c>
      <c r="D11" s="4" t="inlineStr">
        <is>
          <t>Positive</t>
        </is>
      </c>
      <c r="E11" s="4" t="inlineStr">
        <is>
          <t>I log into the UMPay application with valid credentials</t>
        </is>
      </c>
      <c r="F11" s="4" t="inlineStr">
        <is>
          <t>-Given I log into the UMPay application with valid credentials using "1" of "Sheet1" of "Login_TestData.xlsx"
-When I open the profile panel
-And I open "&lt;destination&gt;" from the profile panel
-Then the "&lt;destination&gt;" screen should open
-When I go back from the destination
-Then the profile panel should offer "&lt;destination&gt;"</t>
        </is>
      </c>
      <c r="G11" s="4" t="inlineStr">
        <is>
          <t>Login_TestData.xlsx</t>
        </is>
      </c>
      <c r="H11" s="4" t="inlineStr">
        <is>
          <t>The "&lt;destination&gt;" screen should open; the profile panel should offer "&lt;destination&gt;"</t>
        </is>
      </c>
      <c r="I11" s="4" t="inlineStr">
        <is>
          <t>The app is left on the screen the scenario reached</t>
        </is>
      </c>
      <c r="J11" s="4" t="inlineStr">
        <is>
          <t>Ran on Redmi 13C (Android) and behaved as the scenario expects</t>
        </is>
      </c>
      <c r="K11" s="4" t="inlineStr">
        <is>
          <t>PASS</t>
        </is>
      </c>
      <c r="L11" s="4" t="inlineStr">
        <is>
          <t>MEDIUM</t>
        </is>
      </c>
      <c r="M11" s="4" t="inlineStr">
        <is>
          <t>KIMA</t>
        </is>
      </c>
      <c r="N11" s="13" t="n">
        <v>46274</v>
      </c>
      <c r="O11" s="4" t="inlineStr">
        <is>
          <t>Redmi 13C (Android)</t>
        </is>
      </c>
      <c r="P11" s="4" t="inlineStr">
        <is>
          <t>UMPay Android app</t>
        </is>
      </c>
      <c r="Q11" s="4" t="n"/>
      <c r="R11" s="4" t="n"/>
      <c r="S11" s="14" t="inlineStr">
        <is>
          <t>Run</t>
        </is>
      </c>
    </row>
  </sheetData>
  <dataValidations count="3">
    <dataValidation sqref="K9:K11" showDropDown="0" showInputMessage="0" showErrorMessage="0" allowBlank="1" type="list">
      <formula1>"PASS,FAIL,PENDING"</formula1>
    </dataValidation>
    <dataValidation sqref="L9:L11" showDropDown="0" showInputMessage="0" showErrorMessage="0" allowBlank="1" type="list">
      <formula1>"HIGH,MEDIUM,LOW"</formula1>
    </dataValidation>
    <dataValidation sqref="D9:D11" showDropDown="0" showInputMessage="0" showErrorMessage="0" allowBlank="1" type="list">
      <formula1>"Positive,Negative"</formula1>
    </dataValidation>
  </dataValidations>
  <hyperlinks>
    <hyperlink xmlns:r="http://schemas.openxmlformats.org/officeDocument/2006/relationships" ref="S9" r:id="rId1"/>
    <hyperlink xmlns:r="http://schemas.openxmlformats.org/officeDocument/2006/relationships" ref="S10" r:id="rId2"/>
    <hyperlink xmlns:r="http://schemas.openxmlformats.org/officeDocument/2006/relationships" ref="S11" r:id="rId3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.6" customWidth="1" min="1" max="1"/>
    <col width="15" customWidth="1" min="2" max="2"/>
    <col width="40" customWidth="1" min="3" max="3"/>
    <col width="12.6" customWidth="1" min="4" max="4"/>
    <col width="22" customWidth="1" min="5" max="5"/>
    <col width="34" customWidth="1" min="6" max="6"/>
    <col width="18" customWidth="1" min="7" max="7"/>
    <col width="34" customWidth="1" min="8" max="8"/>
    <col width="20" customWidth="1" min="9" max="9"/>
    <col width="34" customWidth="1" min="10" max="10"/>
    <col width="10" customWidth="1" min="11" max="11"/>
    <col width="10" customWidth="1" min="12" max="12"/>
    <col width="10" customWidth="1" min="13" max="13"/>
    <col width="12" customWidth="1" min="14" max="14"/>
    <col width="18" customWidth="1" min="15" max="15"/>
    <col width="18" customWidth="1" min="16" max="16"/>
    <col width="12" customWidth="1" min="17" max="17"/>
    <col width="14" customWidth="1" min="18" max="18"/>
    <col width="10" customWidth="1" min="19" max="19"/>
  </cols>
  <sheetData>
    <row r="1">
      <c r="A1" s="1" t="inlineStr">
        <is>
          <t>Project Name</t>
        </is>
      </c>
      <c r="B1" t="inlineStr">
        <is>
          <t>UMPay Mobile</t>
        </is>
      </c>
    </row>
    <row r="2">
      <c r="A2" s="1" t="inlineStr">
        <is>
          <t>Module/Feature Name</t>
        </is>
      </c>
      <c r="B2" t="inlineStr">
        <is>
          <t>End To End</t>
        </is>
      </c>
      <c r="P2" t="inlineStr">
        <is>
          <t>HIGH</t>
        </is>
      </c>
      <c r="Q2" t="inlineStr">
        <is>
          <t>MEDIUM</t>
        </is>
      </c>
      <c r="R2" t="inlineStr">
        <is>
          <t>LOW</t>
        </is>
      </c>
    </row>
    <row r="3">
      <c r="A3" s="1" t="inlineStr">
        <is>
          <t>Reference Document</t>
        </is>
      </c>
      <c r="B3" t="inlineStr">
        <is>
          <t>EndToEndTest.feature</t>
        </is>
      </c>
      <c r="N3" s="1" t="inlineStr">
        <is>
          <t>PASS</t>
        </is>
      </c>
      <c r="O3">
        <f>COUNTIF(K:K,"PASS")</f>
        <v/>
      </c>
      <c r="P3">
        <f>COUNTIFS(K:K,"PASS",L:L,"HIGH")</f>
        <v/>
      </c>
      <c r="Q3">
        <f>COUNTIFS(K:K,"PASS",L:L,"MEDIUM")</f>
        <v/>
      </c>
      <c r="R3">
        <f>COUNTIFS(K:K,"PASS",L:L,"LOW")</f>
        <v/>
      </c>
    </row>
    <row r="4">
      <c r="A4" s="1" t="inlineStr">
        <is>
          <t>Created By</t>
        </is>
      </c>
      <c r="B4" t="inlineStr">
        <is>
          <t>KIMA</t>
        </is>
      </c>
      <c r="N4" s="1" t="inlineStr">
        <is>
          <t>FAIL</t>
        </is>
      </c>
      <c r="O4">
        <f>COUNTIF(K:K,"FAIL")</f>
        <v/>
      </c>
      <c r="P4">
        <f>COUNTIFS(K:K,"FAIL",L:L,"HIGH")</f>
        <v/>
      </c>
      <c r="Q4">
        <f>COUNTIFS(K:K,"FAIL",L:L,"MEDIUM")</f>
        <v/>
      </c>
      <c r="R4">
        <f>COUNTIFS(K:K,"FAIL",L:L,"LOW")</f>
        <v/>
      </c>
    </row>
    <row r="5">
      <c r="A5" s="1" t="inlineStr">
        <is>
          <t>Date of Creation</t>
        </is>
      </c>
      <c r="B5" s="12" t="n">
        <v>46274</v>
      </c>
      <c r="N5" s="1" t="inlineStr">
        <is>
          <t>PENDING</t>
        </is>
      </c>
      <c r="O5">
        <f>COUNTIF(K:K,"PENDING")</f>
        <v/>
      </c>
      <c r="P5">
        <f>COUNTIFS(K:K,"PENDING",L:L,"HIGH")</f>
        <v/>
      </c>
      <c r="Q5">
        <f>COUNTIFS(K:K,"PENDING",L:L,"MEDIUM")</f>
        <v/>
      </c>
      <c r="R5">
        <f>COUNTIFS(K:K,"PENDING",L:L,"LOW")</f>
        <v/>
      </c>
    </row>
    <row r="6">
      <c r="A6" s="1" t="inlineStr">
        <is>
          <t>Date of Review</t>
        </is>
      </c>
      <c r="B6" s="12" t="n">
        <v>46274</v>
      </c>
    </row>
    <row r="8">
      <c r="A8" s="3" t="inlineStr">
        <is>
          <t>TEST CASE ID</t>
        </is>
      </c>
      <c r="B8" s="3" t="inlineStr">
        <is>
          <t>TEST SCENARIO</t>
        </is>
      </c>
      <c r="C8" s="3" t="inlineStr">
        <is>
          <t>TEST CASE</t>
        </is>
      </c>
      <c r="D8" s="3" t="inlineStr">
        <is>
          <t>TEST CATEGORY</t>
        </is>
      </c>
      <c r="E8" s="3" t="inlineStr">
        <is>
          <t>PRE-CONDITION</t>
        </is>
      </c>
      <c r="F8" s="3" t="inlineStr">
        <is>
          <t>TEST STEPS</t>
        </is>
      </c>
      <c r="G8" s="3" t="inlineStr">
        <is>
          <t>TEST DATA</t>
        </is>
      </c>
      <c r="H8" s="3" t="inlineStr">
        <is>
          <t>EXPECTED RESULTS</t>
        </is>
      </c>
      <c r="I8" s="3" t="inlineStr">
        <is>
          <t>POST CONDITION</t>
        </is>
      </c>
      <c r="J8" s="3" t="inlineStr">
        <is>
          <t>ACTUAL RESULT</t>
        </is>
      </c>
      <c r="K8" s="3" t="inlineStr">
        <is>
          <t>STATUS</t>
        </is>
      </c>
      <c r="L8" s="3" t="inlineStr">
        <is>
          <t>PRIORITY</t>
        </is>
      </c>
      <c r="M8" s="3" t="inlineStr">
        <is>
          <t>TESTER</t>
        </is>
      </c>
      <c r="N8" s="3" t="inlineStr">
        <is>
          <t>TEST DATE</t>
        </is>
      </c>
      <c r="O8" s="3" t="inlineStr">
        <is>
          <t>DEVICE</t>
        </is>
      </c>
      <c r="P8" s="3" t="inlineStr">
        <is>
          <t>PLATFORM</t>
        </is>
      </c>
      <c r="Q8" s="3" t="inlineStr">
        <is>
          <t>ISSUE LINK</t>
        </is>
      </c>
      <c r="R8" s="3" t="inlineStr">
        <is>
          <t>COMMENT</t>
        </is>
      </c>
      <c r="S8" s="3" t="inlineStr">
        <is>
          <t>Run</t>
        </is>
      </c>
    </row>
    <row r="9" ht="90" customHeight="1">
      <c r="A9" s="4" t="inlineStr">
        <is>
          <t>TC_001</t>
        </is>
      </c>
      <c r="B9" s="4" t="inlineStr">
        <is>
          <t>End To End</t>
        </is>
      </c>
      <c r="C9" s="4" t="inlineStr">
        <is>
          <t>A user signs in, fills every money form, prices a transfer and signs out</t>
        </is>
      </c>
      <c r="D9" s="4" t="inlineStr">
        <is>
          <t>Positive</t>
        </is>
      </c>
      <c r="E9" s="4" t="inlineStr">
        <is>
          <t>The UMPay app is open on the login screen</t>
        </is>
      </c>
      <c r="F9" s="4" t="inlineStr">
        <is>
          <t>-Given the UMPay app is open on the login screen
-When I sign in with the credentials in "1" of "Sheet1" of "Login_TestData.xlsx"
-Then I should reach the dashboard
-And the dashboard should offer the money actions
-When I open the "Deposit" form from the dashboard
-Then the "Deposit" form should be shown
-And the "Confirm" action should be disabled
-When I enter the deposit amount in "1" of "Sheet1" of "Deposit_TestData.xlsx"
-Then the amount should be accepted
-And the form should ask for "Payment information"
-And the transaction is deliberately not submitted
-When I open the "Withdrawal" form from the dashboard
-Then the "Withdrawal" form should be shown
-When I enter the withdrawal amount in "1" of "Sheet1" of "Withdraw_TestData.xlsx"
-Then the amount should be accepted
-And the transaction is deliberately not submitted
-When I open the "Convert" form from the dashboard
-Then the "Convert" form should be shown
-When I enter the conversion amount in "1" of "Sheet1" of "Convert_TestData.xlsx"
-Then the amount should be accepted
-And the transaction is deliberately not submitted
-When I open the transfer hub
-Then the transfer hub should offer the route "UMPay to Existing template"
-And the transfer hub should offer the route "UMPay to UMPay Wallet"
-When I take the "UnionPay China" route
-Then the UnionPay transfer form should be shown
-When I enter the UnionPay amount in "1" of "Sheet1" of "GlobalTransfer_TestData.xlsx"
-Then the transfer should be priced
-And the UnionPay transfer should become sendable
-And the transfer is deliberately not sent
-When I sign out
-Then I should be back on the login screen</t>
        </is>
      </c>
      <c r="G9" s="4" t="inlineStr">
        <is>
          <t>Convert_TestData.xlsx, Deposit_TestData.xlsx, GlobalTransfer_TestData.xlsx, Login_TestData.xlsx, Withdraw_TestData.xlsx</t>
        </is>
      </c>
      <c r="H9" s="4" t="inlineStr">
        <is>
          <t>I should reach the dashboard; the dashboard should offer the money actions; the "Deposit" form should be shown; the "Confirm" action should be disabled; the amount should be accepted; the form should ask for "Payment information"; the transaction is deliberately not submitted; the "Withdrawal" form should be shown</t>
        </is>
      </c>
      <c r="I9" s="4" t="inlineStr">
        <is>
          <t>The app is left on the screen the scenario reached</t>
        </is>
      </c>
      <c r="J9" s="4" t="inlineStr">
        <is>
          <t>Not run in this pass. The runner holds @register and @e2e back from an unattended run - a registration makes a real account, solves a captcha and reads a code out of a mailbox, and the journey drives every form a second time on the one device this suite has. Launch it on its own with the Run link beside this row</t>
        </is>
      </c>
      <c r="K9" s="4" t="inlineStr">
        <is>
          <t>PENDING</t>
        </is>
      </c>
      <c r="L9" s="4" t="inlineStr">
        <is>
          <t>HIGH</t>
        </is>
      </c>
      <c r="M9" s="4" t="inlineStr">
        <is>
          <t>KIMA</t>
        </is>
      </c>
      <c r="N9" s="13" t="n">
        <v>46274</v>
      </c>
      <c r="O9" s="4" t="inlineStr">
        <is>
          <t>Redmi 13C (Android)</t>
        </is>
      </c>
      <c r="P9" s="4" t="inlineStr">
        <is>
          <t>UMPay Android app</t>
        </is>
      </c>
      <c r="Q9" s="4" t="n"/>
      <c r="R9" s="4" t="n"/>
      <c r="S9" s="14" t="inlineStr">
        <is>
          <t>Run</t>
        </is>
      </c>
    </row>
  </sheetData>
  <dataValidations count="3">
    <dataValidation sqref="K9" showDropDown="0" showInputMessage="0" showErrorMessage="0" allowBlank="1" type="list">
      <formula1>"PASS,FAIL,PENDING"</formula1>
    </dataValidation>
    <dataValidation sqref="L9" showDropDown="0" showInputMessage="0" showErrorMessage="0" allowBlank="1" type="list">
      <formula1>"HIGH,MEDIUM,LOW"</formula1>
    </dataValidation>
    <dataValidation sqref="D9" showDropDown="0" showInputMessage="0" showErrorMessage="0" allowBlank="1" type="list">
      <formula1>"Positive,Negative"</formula1>
    </dataValidation>
  </dataValidations>
  <hyperlinks>
    <hyperlink xmlns:r="http://schemas.openxmlformats.org/officeDocument/2006/relationships" ref="S9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M25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3" customWidth="1" min="4" max="4"/>
    <col width="20" customWidth="1" min="5" max="5"/>
    <col width="12" customWidth="1" min="6" max="6"/>
    <col width="3" customWidth="1" min="7" max="7"/>
    <col width="3" customWidth="1" min="8" max="8"/>
    <col width="3" customWidth="1" min="9" max="9"/>
    <col width="14" customWidth="1" min="10" max="10"/>
    <col width="16" customWidth="1" min="11" max="11"/>
    <col width="16" customWidth="1" min="12" max="12"/>
    <col width="12" customWidth="1" min="13" max="13"/>
  </cols>
  <sheetData>
    <row r="2">
      <c r="B2" s="6" t="inlineStr">
        <is>
          <t>Login</t>
        </is>
      </c>
      <c r="E2" s="6" t="inlineStr">
        <is>
          <t>Register</t>
        </is>
      </c>
      <c r="J2" s="7" t="inlineStr">
        <is>
          <t>Result</t>
        </is>
      </c>
      <c r="K2" s="7" t="inlineStr">
        <is>
          <t>Test Cases (n)</t>
        </is>
      </c>
      <c r="L2" s="7" t="inlineStr">
        <is>
          <t>Test Cases (%)</t>
        </is>
      </c>
    </row>
    <row r="3">
      <c r="B3" s="8" t="inlineStr">
        <is>
          <t>PASS</t>
        </is>
      </c>
      <c r="C3" s="9">
        <f>COUNTIF(Login!K:K,"PASS")</f>
        <v/>
      </c>
      <c r="E3" s="8" t="inlineStr">
        <is>
          <t>PASS</t>
        </is>
      </c>
      <c r="F3" s="9">
        <f>COUNTIF(Register!K:K,"PASS")</f>
        <v/>
      </c>
      <c r="J3" s="1" t="inlineStr">
        <is>
          <t>PASS</t>
        </is>
      </c>
      <c r="K3">
        <f>SUM(C3,F3,C8,F8,C13,F13,C18,F18,C23)</f>
        <v/>
      </c>
      <c r="L3" s="15">
        <f>IFERROR(K3/$K$6,0)</f>
        <v/>
      </c>
    </row>
    <row r="4">
      <c r="B4" s="8" t="inlineStr">
        <is>
          <t>FAIL</t>
        </is>
      </c>
      <c r="C4" s="9">
        <f>COUNTIF(Login!K:K,"FAIL")</f>
        <v/>
      </c>
      <c r="E4" s="8" t="inlineStr">
        <is>
          <t>FAIL</t>
        </is>
      </c>
      <c r="F4" s="9">
        <f>COUNTIF(Register!K:K,"FAIL")</f>
        <v/>
      </c>
      <c r="J4" s="1" t="inlineStr">
        <is>
          <t>FAIL</t>
        </is>
      </c>
      <c r="K4">
        <f>SUM(C4,F4,C9,F9,C14,F14,C19,F19,C24)</f>
        <v/>
      </c>
      <c r="L4" s="15">
        <f>IFERROR(K4/$K$6,0)</f>
        <v/>
      </c>
    </row>
    <row r="5">
      <c r="B5" s="8" t="inlineStr">
        <is>
          <t>PENDING</t>
        </is>
      </c>
      <c r="C5" s="9">
        <f>COUNTIF(Login!K:K,"PENDING")</f>
        <v/>
      </c>
      <c r="E5" s="8" t="inlineStr">
        <is>
          <t>PENDING</t>
        </is>
      </c>
      <c r="F5" s="9">
        <f>COUNTIF(Register!K:K,"PENDING")</f>
        <v/>
      </c>
      <c r="J5" s="1" t="inlineStr">
        <is>
          <t>PENDING</t>
        </is>
      </c>
      <c r="K5">
        <f>SUM(C5,F5,C10,F10,C15,F15,C20,F20,C25)</f>
        <v/>
      </c>
      <c r="L5" s="15">
        <f>IFERROR(K5/$K$6,0)</f>
        <v/>
      </c>
    </row>
    <row r="6">
      <c r="J6" s="1" t="inlineStr">
        <is>
          <t>TOTAL</t>
        </is>
      </c>
      <c r="K6" s="1">
        <f>SUM(K3,K4,K5)</f>
        <v/>
      </c>
    </row>
    <row r="7">
      <c r="B7" s="6" t="inlineStr">
        <is>
          <t>Deposit</t>
        </is>
      </c>
      <c r="E7" s="6" t="inlineStr">
        <is>
          <t>Withdraw</t>
        </is>
      </c>
    </row>
    <row r="8">
      <c r="B8" s="8" t="inlineStr">
        <is>
          <t>PASS</t>
        </is>
      </c>
      <c r="C8" s="9">
        <f>COUNTIF(Deposit!K:K,"PASS")</f>
        <v/>
      </c>
      <c r="E8" s="8" t="inlineStr">
        <is>
          <t>PASS</t>
        </is>
      </c>
      <c r="F8" s="9">
        <f>COUNTIF(Withdraw!K:K,"PASS")</f>
        <v/>
      </c>
      <c r="J8" s="1" t="inlineStr">
        <is>
          <t>Priority</t>
        </is>
      </c>
      <c r="K8" s="1" t="inlineStr">
        <is>
          <t>HIGH</t>
        </is>
      </c>
      <c r="L8" s="1" t="inlineStr">
        <is>
          <t>MEDIUM</t>
        </is>
      </c>
      <c r="M8" s="1" t="inlineStr">
        <is>
          <t>LOW</t>
        </is>
      </c>
    </row>
    <row r="9">
      <c r="B9" s="8" t="inlineStr">
        <is>
          <t>FAIL</t>
        </is>
      </c>
      <c r="C9" s="9">
        <f>COUNTIF(Deposit!K:K,"FAIL")</f>
        <v/>
      </c>
      <c r="E9" s="8" t="inlineStr">
        <is>
          <t>FAIL</t>
        </is>
      </c>
      <c r="F9" s="9">
        <f>COUNTIF(Withdraw!K:K,"FAIL")</f>
        <v/>
      </c>
      <c r="J9" s="1" t="inlineStr">
        <is>
          <t>PASS</t>
        </is>
      </c>
      <c r="K9">
        <f>SUM(Login!P3,Register!P3,Deposit!P3,Withdraw!P3,Transfer!P3,Convert!P3,Global_Transfer!P3,Profile!P3,End_To_End!P3)</f>
        <v/>
      </c>
      <c r="L9">
        <f>SUM(Login!Q3,Register!Q3,Deposit!Q3,Withdraw!Q3,Transfer!Q3,Convert!Q3,Global_Transfer!Q3,Profile!Q3,End_To_End!Q3)</f>
        <v/>
      </c>
      <c r="M9">
        <f>SUM(Login!R3,Register!R3,Deposit!R3,Withdraw!R3,Transfer!R3,Convert!R3,Global_Transfer!R3,Profile!R3,End_To_End!R3)</f>
        <v/>
      </c>
    </row>
    <row r="10">
      <c r="B10" s="8" t="inlineStr">
        <is>
          <t>PENDING</t>
        </is>
      </c>
      <c r="C10" s="9">
        <f>COUNTIF(Deposit!K:K,"PENDING")</f>
        <v/>
      </c>
      <c r="E10" s="8" t="inlineStr">
        <is>
          <t>PENDING</t>
        </is>
      </c>
      <c r="F10" s="9">
        <f>COUNTIF(Withdraw!K:K,"PENDING")</f>
        <v/>
      </c>
      <c r="J10" s="1" t="inlineStr">
        <is>
          <t>FAIL</t>
        </is>
      </c>
      <c r="K10">
        <f>SUM(Login!P4,Register!P4,Deposit!P4,Withdraw!P4,Transfer!P4,Convert!P4,Global_Transfer!P4,Profile!P4,End_To_End!P4)</f>
        <v/>
      </c>
      <c r="L10">
        <f>SUM(Login!Q4,Register!Q4,Deposit!Q4,Withdraw!Q4,Transfer!Q4,Convert!Q4,Global_Transfer!Q4,Profile!Q4,End_To_End!Q4)</f>
        <v/>
      </c>
      <c r="M10">
        <f>SUM(Login!R4,Register!R4,Deposit!R4,Withdraw!R4,Transfer!R4,Convert!R4,Global_Transfer!R4,Profile!R4,End_To_End!R4)</f>
        <v/>
      </c>
    </row>
    <row r="11">
      <c r="J11" s="1" t="inlineStr">
        <is>
          <t>PENDING</t>
        </is>
      </c>
      <c r="K11">
        <f>SUM(Login!P5,Register!P5,Deposit!P5,Withdraw!P5,Transfer!P5,Convert!P5,Global_Transfer!P5,Profile!P5,End_To_End!P5)</f>
        <v/>
      </c>
      <c r="L11">
        <f>SUM(Login!Q5,Register!Q5,Deposit!Q5,Withdraw!Q5,Transfer!Q5,Convert!Q5,Global_Transfer!Q5,Profile!Q5,End_To_End!Q5)</f>
        <v/>
      </c>
      <c r="M11">
        <f>SUM(Login!R5,Register!R5,Deposit!R5,Withdraw!R5,Transfer!R5,Convert!R5,Global_Transfer!R5,Profile!R5,End_To_End!R5)</f>
        <v/>
      </c>
    </row>
    <row r="12">
      <c r="B12" s="6" t="inlineStr">
        <is>
          <t>Transfer</t>
        </is>
      </c>
      <c r="E12" s="6" t="inlineStr">
        <is>
          <t>Convert</t>
        </is>
      </c>
    </row>
    <row r="13">
      <c r="B13" s="8" t="inlineStr">
        <is>
          <t>PASS</t>
        </is>
      </c>
      <c r="C13" s="9">
        <f>COUNTIF(Transfer!K:K,"PASS")</f>
        <v/>
      </c>
      <c r="E13" s="8" t="inlineStr">
        <is>
          <t>PASS</t>
        </is>
      </c>
      <c r="F13" s="9">
        <f>COUNTIF(Convert!K:K,"PASS")</f>
        <v/>
      </c>
    </row>
    <row r="14">
      <c r="B14" s="8" t="inlineStr">
        <is>
          <t>FAIL</t>
        </is>
      </c>
      <c r="C14" s="9">
        <f>COUNTIF(Transfer!K:K,"FAIL")</f>
        <v/>
      </c>
      <c r="E14" s="8" t="inlineStr">
        <is>
          <t>FAIL</t>
        </is>
      </c>
      <c r="F14" s="9">
        <f>COUNTIF(Convert!K:K,"FAIL")</f>
        <v/>
      </c>
    </row>
    <row r="15">
      <c r="B15" s="8" t="inlineStr">
        <is>
          <t>PENDING</t>
        </is>
      </c>
      <c r="C15" s="9">
        <f>COUNTIF(Transfer!K:K,"PENDING")</f>
        <v/>
      </c>
      <c r="E15" s="8" t="inlineStr">
        <is>
          <t>PENDING</t>
        </is>
      </c>
      <c r="F15" s="9">
        <f>COUNTIF(Convert!K:K,"PENDING")</f>
        <v/>
      </c>
    </row>
    <row r="17">
      <c r="B17" s="6" t="inlineStr">
        <is>
          <t>Global_Transfer</t>
        </is>
      </c>
      <c r="E17" s="6" t="inlineStr">
        <is>
          <t>Profile</t>
        </is>
      </c>
    </row>
    <row r="18">
      <c r="B18" s="8" t="inlineStr">
        <is>
          <t>PASS</t>
        </is>
      </c>
      <c r="C18" s="9">
        <f>COUNTIF(Global_Transfer!K:K,"PASS")</f>
        <v/>
      </c>
      <c r="E18" s="8" t="inlineStr">
        <is>
          <t>PASS</t>
        </is>
      </c>
      <c r="F18" s="9">
        <f>COUNTIF(Profile!K:K,"PASS")</f>
        <v/>
      </c>
    </row>
    <row r="19">
      <c r="B19" s="8" t="inlineStr">
        <is>
          <t>FAIL</t>
        </is>
      </c>
      <c r="C19" s="9">
        <f>COUNTIF(Global_Transfer!K:K,"FAIL")</f>
        <v/>
      </c>
      <c r="E19" s="8" t="inlineStr">
        <is>
          <t>FAIL</t>
        </is>
      </c>
      <c r="F19" s="9">
        <f>COUNTIF(Profile!K:K,"FAIL")</f>
        <v/>
      </c>
    </row>
    <row r="20">
      <c r="B20" s="8" t="inlineStr">
        <is>
          <t>PENDING</t>
        </is>
      </c>
      <c r="C20" s="9">
        <f>COUNTIF(Global_Transfer!K:K,"PENDING")</f>
        <v/>
      </c>
      <c r="E20" s="8" t="inlineStr">
        <is>
          <t>PENDING</t>
        </is>
      </c>
      <c r="F20" s="9">
        <f>COUNTIF(Profile!K:K,"PENDING")</f>
        <v/>
      </c>
    </row>
    <row r="22">
      <c r="B22" s="6" t="inlineStr">
        <is>
          <t>End_To_End</t>
        </is>
      </c>
    </row>
    <row r="23">
      <c r="B23" s="8" t="inlineStr">
        <is>
          <t>PASS</t>
        </is>
      </c>
      <c r="C23" s="9">
        <f>COUNTIF(End_To_End!K:K,"PASS")</f>
        <v/>
      </c>
    </row>
    <row r="24">
      <c r="B24" s="8" t="inlineStr">
        <is>
          <t>FAIL</t>
        </is>
      </c>
      <c r="C24" s="9">
        <f>COUNTIF(End_To_End!K:K,"FAIL")</f>
        <v/>
      </c>
    </row>
    <row r="25">
      <c r="B25" s="8" t="inlineStr">
        <is>
          <t>PENDING</t>
        </is>
      </c>
      <c r="C25" s="9">
        <f>COUNTIF(End_To_End!K:K,"PENDING")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1" t="inlineStr">
        <is>
          <t>Status</t>
        </is>
      </c>
      <c r="B1" s="11" t="inlineStr">
        <is>
          <t>Priority</t>
        </is>
      </c>
      <c r="C1" s="11" t="inlineStr">
        <is>
          <t>QA RESOURCES</t>
        </is>
      </c>
      <c r="D1" s="11" t="inlineStr">
        <is>
          <t>Platform</t>
        </is>
      </c>
      <c r="E1" s="11" t="inlineStr">
        <is>
          <t>Device</t>
        </is>
      </c>
      <c r="F1" s="11" t="inlineStr">
        <is>
          <t>Project</t>
        </is>
      </c>
      <c r="G1" s="11" t="inlineStr">
        <is>
          <t>Test Category</t>
        </is>
      </c>
    </row>
    <row r="2">
      <c r="A2" t="inlineStr">
        <is>
          <t>PASS</t>
        </is>
      </c>
      <c r="B2" t="inlineStr">
        <is>
          <t>LOW</t>
        </is>
      </c>
      <c r="C2" t="inlineStr">
        <is>
          <t>DARA</t>
        </is>
      </c>
      <c r="D2" t="inlineStr">
        <is>
          <t>UMPay Android app</t>
        </is>
      </c>
      <c r="E2" t="inlineStr">
        <is>
          <t>Redmi 13C (Android)</t>
        </is>
      </c>
      <c r="F2" t="inlineStr">
        <is>
          <t>UMPAY</t>
        </is>
      </c>
      <c r="G2" t="inlineStr">
        <is>
          <t>Positive</t>
        </is>
      </c>
    </row>
    <row r="3">
      <c r="A3" t="inlineStr">
        <is>
          <t>FAIL</t>
        </is>
      </c>
      <c r="B3" t="inlineStr">
        <is>
          <t>MEDIUM</t>
        </is>
      </c>
      <c r="C3" t="inlineStr">
        <is>
          <t>KIMA</t>
        </is>
      </c>
      <c r="D3" t="inlineStr">
        <is>
          <t>UMPay iOS app</t>
        </is>
      </c>
      <c r="E3" t="inlineStr">
        <is>
          <t>Android Emulator</t>
        </is>
      </c>
      <c r="F3" t="inlineStr">
        <is>
          <t>WPAY</t>
        </is>
      </c>
      <c r="G3" t="inlineStr">
        <is>
          <t>Negative</t>
        </is>
      </c>
    </row>
    <row r="4">
      <c r="A4" t="inlineStr">
        <is>
          <t>PENDING</t>
        </is>
      </c>
      <c r="B4" t="inlineStr">
        <is>
          <t>HIGH</t>
        </is>
      </c>
      <c r="C4" t="inlineStr">
        <is>
          <t>VATHANA</t>
        </is>
      </c>
      <c r="E4" t="inlineStr">
        <is>
          <t>iPhone</t>
        </is>
      </c>
      <c r="F4" t="inlineStr">
        <is>
          <t>OFL</t>
        </is>
      </c>
    </row>
    <row r="5">
      <c r="F5" t="inlineStr">
        <is>
          <t>UNCS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2026-09-09T08:01:40Z</dcterms:created>
  <dcterms:modified xsi:type="dcterms:W3CDTF">2026-09-09T08:01:40Z</dcterms:modified>
</cp:coreProperties>
</file>